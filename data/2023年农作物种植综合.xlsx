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8735"/>
  </bookViews>
  <sheets>
    <sheet name="Sheet2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<sst xmlns="http://schemas.openxmlformats.org/spreadsheetml/2006/main" count="1302" uniqueCount="176">
  <si>
    <t>作物类型</t>
  </si>
  <si>
    <t>收益</t>
  </si>
  <si>
    <t>种植成本</t>
  </si>
  <si>
    <t>粮食</t>
  </si>
  <si>
    <t>粮食（豆类）</t>
  </si>
  <si>
    <t>食用菌</t>
  </si>
  <si>
    <t xml:space="preserve">蔬菜 </t>
  </si>
  <si>
    <t>蔬菜（豆类）</t>
  </si>
  <si>
    <t>总计</t>
  </si>
  <si>
    <t>序号</t>
  </si>
  <si>
    <t>种植地块</t>
  </si>
  <si>
    <t>作物编号</t>
  </si>
  <si>
    <t>作物名称</t>
  </si>
  <si>
    <t>种植季次</t>
  </si>
  <si>
    <t>地块类型</t>
  </si>
  <si>
    <t>销售单价/(元/斤)</t>
  </si>
  <si>
    <t>地块面积/亩</t>
  </si>
  <si>
    <t>种植面积/亩</t>
  </si>
  <si>
    <t>总产量/斤</t>
  </si>
  <si>
    <t>平均销售单价/(元/斤)</t>
  </si>
  <si>
    <t>亩产量/斤</t>
  </si>
  <si>
    <t>种植成本/(元/亩)</t>
  </si>
  <si>
    <t>收益/元</t>
  </si>
  <si>
    <t>A1</t>
  </si>
  <si>
    <t>小麦</t>
  </si>
  <si>
    <t>单季</t>
  </si>
  <si>
    <t>平旱地</t>
  </si>
  <si>
    <t>3.00-4.00</t>
  </si>
  <si>
    <t>梯田</t>
  </si>
  <si>
    <t>山坡地</t>
  </si>
  <si>
    <t>A2</t>
  </si>
  <si>
    <t>玉米</t>
  </si>
  <si>
    <t>2.50-3.50</t>
  </si>
  <si>
    <t>A3</t>
  </si>
  <si>
    <t>A4</t>
  </si>
  <si>
    <t>黄豆</t>
  </si>
  <si>
    <t>2.50-4.00</t>
  </si>
  <si>
    <t>A5</t>
  </si>
  <si>
    <t>绿豆</t>
  </si>
  <si>
    <t>6.00-8.00</t>
  </si>
  <si>
    <t>A6</t>
  </si>
  <si>
    <t>谷子</t>
  </si>
  <si>
    <t>6.00-7.50</t>
  </si>
  <si>
    <t>B1</t>
  </si>
  <si>
    <t>B2</t>
  </si>
  <si>
    <t>黑豆</t>
  </si>
  <si>
    <t>6.50-8.50</t>
  </si>
  <si>
    <t>B3</t>
  </si>
  <si>
    <t>红豆</t>
  </si>
  <si>
    <t>7.50-9.00</t>
  </si>
  <si>
    <t>B4</t>
  </si>
  <si>
    <t>B5</t>
  </si>
  <si>
    <t>爬豆</t>
  </si>
  <si>
    <t>B6</t>
  </si>
  <si>
    <t>B7</t>
  </si>
  <si>
    <t>B8</t>
  </si>
  <si>
    <t>B9</t>
  </si>
  <si>
    <t>高粱</t>
  </si>
  <si>
    <t>5.50-6.50</t>
  </si>
  <si>
    <t>B10</t>
  </si>
  <si>
    <t>黍子</t>
  </si>
  <si>
    <t>B11</t>
  </si>
  <si>
    <t>B12</t>
  </si>
  <si>
    <t>B13</t>
  </si>
  <si>
    <t>莜麦</t>
  </si>
  <si>
    <t>5.00-6.00</t>
  </si>
  <si>
    <t>B14</t>
  </si>
  <si>
    <t>大麦</t>
  </si>
  <si>
    <t>C1</t>
  </si>
  <si>
    <t>荞麦</t>
  </si>
  <si>
    <t>30.00-50.00</t>
  </si>
  <si>
    <t>C2</t>
  </si>
  <si>
    <t>南瓜</t>
  </si>
  <si>
    <t>1.00-2.00</t>
  </si>
  <si>
    <t>C3</t>
  </si>
  <si>
    <t>C4</t>
  </si>
  <si>
    <t>红薯</t>
  </si>
  <si>
    <t>C5</t>
  </si>
  <si>
    <t>C6</t>
  </si>
  <si>
    <t>D1</t>
  </si>
  <si>
    <t>土豆</t>
  </si>
  <si>
    <t>第一季</t>
  </si>
  <si>
    <t>水浇地</t>
  </si>
  <si>
    <t>3.00-4.50</t>
  </si>
  <si>
    <t xml:space="preserve">普通大棚 </t>
  </si>
  <si>
    <t>智慧大棚</t>
  </si>
  <si>
    <t>3.60-5.40</t>
  </si>
  <si>
    <t>白萝卜</t>
  </si>
  <si>
    <t>第二季</t>
  </si>
  <si>
    <t>2.00-3.00</t>
  </si>
  <si>
    <t>D2</t>
  </si>
  <si>
    <t>小青菜</t>
  </si>
  <si>
    <t>5.00-6.50</t>
  </si>
  <si>
    <t>6.00-7.80</t>
  </si>
  <si>
    <t>大白菜</t>
  </si>
  <si>
    <t>D3</t>
  </si>
  <si>
    <t>西红柿</t>
  </si>
  <si>
    <t>5.00-7.50</t>
  </si>
  <si>
    <t>6.00-9.00</t>
  </si>
  <si>
    <t>D4</t>
  </si>
  <si>
    <t>茄子</t>
  </si>
  <si>
    <t>6.00-7.20</t>
  </si>
  <si>
    <t>D5</t>
  </si>
  <si>
    <t>豇豆</t>
  </si>
  <si>
    <t>7.00-9.00</t>
  </si>
  <si>
    <t>8.40-10.80</t>
  </si>
  <si>
    <t>D6</t>
  </si>
  <si>
    <t>刀豆</t>
  </si>
  <si>
    <t>5.50-8.00</t>
  </si>
  <si>
    <t>6.60-9.60</t>
  </si>
  <si>
    <t>红萝卜</t>
  </si>
  <si>
    <t>D7</t>
  </si>
  <si>
    <t>水稻</t>
  </si>
  <si>
    <t>D8</t>
  </si>
  <si>
    <t>E1</t>
  </si>
  <si>
    <t>榆黄菇</t>
  </si>
  <si>
    <t>50.00-65.00</t>
  </si>
  <si>
    <t>E2</t>
  </si>
  <si>
    <t>青椒</t>
  </si>
  <si>
    <t>4.00-6.50</t>
  </si>
  <si>
    <t>5.80-7.80</t>
  </si>
  <si>
    <t>E3</t>
  </si>
  <si>
    <t>菜花</t>
  </si>
  <si>
    <t>E4</t>
  </si>
  <si>
    <t>包菜</t>
  </si>
  <si>
    <t>5.50-7.50</t>
  </si>
  <si>
    <t>6.60-9.00</t>
  </si>
  <si>
    <t>香菇</t>
  </si>
  <si>
    <t>18.00-20.00</t>
  </si>
  <si>
    <t>E5</t>
  </si>
  <si>
    <t>E6</t>
  </si>
  <si>
    <t>油麦菜</t>
  </si>
  <si>
    <t>4.00-6.00</t>
  </si>
  <si>
    <t>4.80-7.20</t>
  </si>
  <si>
    <t>E7</t>
  </si>
  <si>
    <t>芸豆</t>
  </si>
  <si>
    <t>5.00-8.00</t>
  </si>
  <si>
    <t>6.00-9.60</t>
  </si>
  <si>
    <t>白灵菇</t>
  </si>
  <si>
    <t>14.00-18.00</t>
  </si>
  <si>
    <t>E8</t>
  </si>
  <si>
    <t>E9</t>
  </si>
  <si>
    <t>E10</t>
  </si>
  <si>
    <t>羊肚菌</t>
  </si>
  <si>
    <t>80.00-120.00</t>
  </si>
  <si>
    <t>E11</t>
  </si>
  <si>
    <t>E12</t>
  </si>
  <si>
    <t>E13</t>
  </si>
  <si>
    <t>E14</t>
  </si>
  <si>
    <t>黄瓜</t>
  </si>
  <si>
    <t>7.20-9.60</t>
  </si>
  <si>
    <t>E15</t>
  </si>
  <si>
    <t>生菜</t>
  </si>
  <si>
    <t>4.50-6.00</t>
  </si>
  <si>
    <t>5.40-7.20</t>
  </si>
  <si>
    <t>E16</t>
  </si>
  <si>
    <t>辣椒</t>
  </si>
  <si>
    <t>6.00-8.50</t>
  </si>
  <si>
    <t>7.20-10.20</t>
  </si>
  <si>
    <t>F1</t>
  </si>
  <si>
    <t>空心菜</t>
  </si>
  <si>
    <t>3.00-6.00</t>
  </si>
  <si>
    <t>3.60-7.20</t>
  </si>
  <si>
    <t>黄心菜</t>
  </si>
  <si>
    <t>4.00-5.00</t>
  </si>
  <si>
    <t>4.80-6.00</t>
  </si>
  <si>
    <t>F2</t>
  </si>
  <si>
    <t>F3</t>
  </si>
  <si>
    <t xml:space="preserve">生菜 </t>
  </si>
  <si>
    <t>F4</t>
  </si>
  <si>
    <t>芹菜</t>
  </si>
  <si>
    <t>3.20-4.80</t>
  </si>
  <si>
    <t>3.80-5.80</t>
  </si>
  <si>
    <t xml:space="preserve">菠菜 </t>
  </si>
  <si>
    <t>4.80-6.70</t>
  </si>
  <si>
    <t>5.80-8.00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</si>
</sst>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[2023年农作物种植综合.xlsx]Sheet2!数据透视表1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70155440414508"/>
          <c:y val="0.0610492845786963"/>
          <c:w val="0.682746113989637"/>
          <c:h val="0.576279809220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收益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粮食</c:v>
                </c:pt>
                <c:pt idx="1">
                  <c:v>粮食（豆类）</c:v>
                </c:pt>
                <c:pt idx="2">
                  <c:v>食用菌</c:v>
                </c:pt>
                <c:pt idx="3">
                  <c:v>蔬菜 </c:v>
                </c:pt>
                <c:pt idx="4">
                  <c:v>蔬菜（豆类）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5334600</c:v>
                </c:pt>
                <c:pt idx="1">
                  <c:v>2047518.75</c:v>
                </c:pt>
                <c:pt idx="2">
                  <c:v>1293300</c:v>
                </c:pt>
                <c:pt idx="3">
                  <c:v>4183107</c:v>
                </c:pt>
                <c:pt idx="4">
                  <c:v>1592740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0"/>
        <c:axId val="953419912"/>
        <c:axId val="118194178"/>
      </c:barChart>
      <c:lineChart>
        <c:grouping val="standard"/>
        <c:varyColors val="0"/>
        <c:ser>
          <c:idx val="1"/>
          <c:order val="1"/>
          <c:tx>
            <c:strRef>
              <c:f>Sheet2!$C$3</c:f>
              <c:strCache>
                <c:ptCount val="1"/>
                <c:pt idx="0">
                  <c:v>种植成本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Sheet2!$A$4:$A$9</c:f>
              <c:strCache>
                <c:ptCount val="5"/>
                <c:pt idx="0">
                  <c:v>粮食</c:v>
                </c:pt>
                <c:pt idx="1">
                  <c:v>粮食（豆类）</c:v>
                </c:pt>
                <c:pt idx="2">
                  <c:v>食用菌</c:v>
                </c:pt>
                <c:pt idx="3">
                  <c:v>蔬菜 </c:v>
                </c:pt>
                <c:pt idx="4">
                  <c:v>蔬菜（豆类）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29080</c:v>
                </c:pt>
                <c:pt idx="1">
                  <c:v>10050</c:v>
                </c:pt>
                <c:pt idx="2">
                  <c:v>115000</c:v>
                </c:pt>
                <c:pt idx="3">
                  <c:v>203930</c:v>
                </c:pt>
                <c:pt idx="4">
                  <c:v>59840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3844651"/>
        <c:axId val="441984460"/>
      </c:lineChart>
      <c:catAx>
        <c:axId val="3738446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984460"/>
        <c:crosses val="autoZero"/>
        <c:auto val="1"/>
        <c:lblAlgn val="ctr"/>
        <c:lblOffset val="100"/>
        <c:tickLblSkip val="1"/>
        <c:noMultiLvlLbl val="0"/>
      </c:catAx>
      <c:valAx>
        <c:axId val="4419844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种植成本</a:t>
                </a:r>
                <a:r>
                  <a:rPr lang="en-US" altLang="zh-CN"/>
                  <a:t>/</a:t>
                </a:r>
                <a:r>
                  <a:rPr altLang="en-US"/>
                  <a:t>（元</a:t>
                </a:r>
                <a:r>
                  <a:rPr lang="en-US" altLang="zh-CN"/>
                  <a:t>/</a:t>
                </a:r>
                <a:r>
                  <a:rPr altLang="en-US"/>
                  <a:t>亩）</a:t>
                </a:r>
                <a:endParaRPr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844651"/>
        <c:crosses val="autoZero"/>
        <c:crossBetween val="between"/>
      </c:valAx>
      <c:catAx>
        <c:axId val="95341991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194178"/>
        <c:crosses val="autoZero"/>
        <c:auto val="1"/>
        <c:lblAlgn val="ctr"/>
        <c:lblOffset val="100"/>
        <c:noMultiLvlLbl val="0"/>
      </c:catAx>
      <c:valAx>
        <c:axId val="118194178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收益</a:t>
                </a:r>
                <a:r>
                  <a:rPr lang="en-US" altLang="zh-CN"/>
                  <a:t>/</a:t>
                </a:r>
                <a:r>
                  <a:rPr altLang="en-US"/>
                  <a:t>元</a:t>
                </a:r>
                <a:endParaRPr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41991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375920</xdr:colOff>
      <xdr:row>6</xdr:row>
      <xdr:rowOff>86360</xdr:rowOff>
    </xdr:from>
    <xdr:to>
      <xdr:col>10</xdr:col>
      <xdr:colOff>233045</xdr:colOff>
      <xdr:row>18</xdr:row>
      <xdr:rowOff>56515</xdr:rowOff>
    </xdr:to>
    <xdr:graphicFrame>
      <xdr:nvGraphicFramePr>
        <xdr:cNvPr id="3" name="图表 2"/>
        <xdr:cNvGraphicFramePr/>
      </xdr:nvGraphicFramePr>
      <xdr:xfrm>
        <a:off x="2227580" y="1183640"/>
        <a:ext cx="5008245" cy="2164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43.8139583333" refreshedBy="qintao" recordCount="214">
  <cacheSource type="worksheet">
    <worksheetSource ref="A1:O1048576" sheet="sheet1"/>
  </cacheSource>
  <cacheFields count="15">
    <cacheField name="序号" numFmtId="0">
      <sharedItems containsString="0" containsBlank="1" containsNumber="1" containsInteger="1" minValue="0" maxValue="212" count="21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m/>
      </sharedItems>
    </cacheField>
    <cacheField name="种植地块" numFmtId="0">
      <sharedItems containsBlank="1" count="55">
        <s v="A1"/>
        <s v="A2"/>
        <s v="A3"/>
        <s v="A4"/>
        <s v="A5"/>
        <s v="A6"/>
        <s v="B1"/>
        <s v="B2"/>
        <s v="B3"/>
        <s v="B4"/>
        <s v="B5"/>
        <s v="B6"/>
        <s v="B7"/>
        <s v="B8"/>
        <s v="B9"/>
        <s v="B10"/>
        <s v="B11"/>
        <s v="B12"/>
        <s v="B13"/>
        <s v="B14"/>
        <s v="C1"/>
        <s v="C2"/>
        <s v="C3"/>
        <s v="C4"/>
        <s v="C5"/>
        <s v="C6"/>
        <s v="D1"/>
        <s v="D2"/>
        <s v="D3"/>
        <s v="D4"/>
        <s v="D5"/>
        <s v="D6"/>
        <s v="D7"/>
        <s v="D8"/>
        <s v="E1"/>
        <s v="E2"/>
        <s v="E3"/>
        <s v="E4"/>
        <s v="E5"/>
        <s v="E6"/>
        <s v="E7"/>
        <s v="E8"/>
        <s v="E9"/>
        <s v="E10"/>
        <s v="E11"/>
        <s v="E12"/>
        <s v="E13"/>
        <s v="E14"/>
        <s v="E15"/>
        <s v="E16"/>
        <s v="F1"/>
        <s v="F2"/>
        <s v="F3"/>
        <s v="F4"/>
        <m/>
      </sharedItems>
    </cacheField>
    <cacheField name="作物编号" numFmtId="49">
      <sharedItems containsString="0" containsBlank="1" containsNumber="1" containsInteger="1" minValue="0" maxValue="41" count="42">
        <n v="6"/>
        <n v="7"/>
        <n v="1"/>
        <n v="4"/>
        <n v="8"/>
        <n v="2"/>
        <n v="3"/>
        <n v="5"/>
        <n v="9"/>
        <n v="10"/>
        <n v="14"/>
        <n v="15"/>
        <n v="11"/>
        <n v="12"/>
        <n v="13"/>
        <n v="20"/>
        <n v="36"/>
        <n v="28"/>
        <n v="35"/>
        <n v="21"/>
        <n v="22"/>
        <n v="17"/>
        <n v="18"/>
        <n v="37"/>
        <n v="16"/>
        <n v="38"/>
        <n v="24"/>
        <n v="25"/>
        <n v="26"/>
        <n v="39"/>
        <n v="27"/>
        <n v="19"/>
        <n v="40"/>
        <n v="41"/>
        <n v="29"/>
        <n v="30"/>
        <n v="31"/>
        <n v="32"/>
        <n v="33"/>
        <n v="34"/>
        <n v="23"/>
        <m/>
      </sharedItems>
    </cacheField>
    <cacheField name="作物名称" numFmtId="0">
      <sharedItems containsBlank="1" count="43">
        <s v="小麦"/>
        <s v="玉米"/>
        <s v="黄豆"/>
        <s v="绿豆"/>
        <s v="谷子"/>
        <s v="黑豆"/>
        <s v="红豆"/>
        <s v="爬豆"/>
        <s v="高粱"/>
        <s v="黍子"/>
        <s v="莜麦"/>
        <s v="大麦"/>
        <s v="荞麦"/>
        <s v="南瓜"/>
        <s v="红薯"/>
        <s v="土豆"/>
        <s v="白萝卜"/>
        <s v="小青菜"/>
        <s v="大白菜"/>
        <s v="西红柿"/>
        <s v="茄子"/>
        <s v="豇豆"/>
        <s v="刀豆"/>
        <s v="红萝卜"/>
        <s v="水稻"/>
        <s v="榆黄菇"/>
        <s v="青椒"/>
        <s v="菜花"/>
        <s v="包菜"/>
        <s v="香菇"/>
        <s v="油麦菜"/>
        <s v="芸豆"/>
        <s v="白灵菇"/>
        <s v="羊肚菌"/>
        <s v="黄瓜"/>
        <s v="生菜"/>
        <s v="辣椒"/>
        <s v="空心菜"/>
        <s v="黄心菜"/>
        <s v="生菜 "/>
        <s v="芹菜"/>
        <s v="菠菜 "/>
        <m/>
      </sharedItems>
    </cacheField>
    <cacheField name="作物类型" numFmtId="0">
      <sharedItems containsBlank="1" count="6">
        <s v="粮食"/>
        <s v="粮食（豆类）"/>
        <s v="蔬菜 "/>
        <s v="蔬菜（豆类）"/>
        <s v="食用菌"/>
        <m/>
      </sharedItems>
    </cacheField>
    <cacheField name="种植季次" numFmtId="0">
      <sharedItems containsBlank="1" count="4">
        <s v="单季"/>
        <s v="第一季"/>
        <s v="第二季"/>
        <m/>
      </sharedItems>
    </cacheField>
    <cacheField name="地块类型" numFmtId="0">
      <sharedItems containsBlank="1" count="7">
        <s v="平旱地"/>
        <s v="梯田"/>
        <s v="山坡地"/>
        <s v="水浇地"/>
        <s v="普通大棚 "/>
        <s v="智慧大棚"/>
        <m/>
      </sharedItems>
    </cacheField>
    <cacheField name="销售单价/(元/斤)" numFmtId="176">
      <sharedItems containsBlank="1" count="49">
        <s v="3.00-4.00"/>
        <s v="2.50-3.50"/>
        <s v="2.50-4.00"/>
        <s v="6.00-8.00"/>
        <s v="6.00-7.50"/>
        <s v="6.50-8.50"/>
        <s v="7.50-9.00"/>
        <s v="5.50-6.50"/>
        <s v="5.00-6.00"/>
        <s v="30.00-50.00"/>
        <s v="1.00-2.00"/>
        <s v="3.00-4.50"/>
        <s v="3.60-5.40"/>
        <s v="2.00-3.00"/>
        <s v="5.00-6.50"/>
        <s v="6.00-7.80"/>
        <s v="5.00-7.50"/>
        <s v="6.00-9.00"/>
        <s v="6.00-7.20"/>
        <s v="7.00-9.00"/>
        <s v="8.40-10.80"/>
        <s v="5.50-8.00"/>
        <s v="6.60-9.60"/>
        <s v="50.00-65.00"/>
        <s v="4.00-6.50"/>
        <s v="5.80-7.80"/>
        <s v="5.50-7.50"/>
        <s v="6.60-9.00"/>
        <s v="18.00-20.00"/>
        <s v="4.00-6.00"/>
        <s v="4.80-7.20"/>
        <s v="5.00-8.00"/>
        <s v="6.00-9.60"/>
        <s v="14.00-18.00"/>
        <s v="80.00-120.00"/>
        <s v="7.20-9.60"/>
        <s v="4.50-6.00"/>
        <s v="5.40-7.20"/>
        <s v="6.00-8.50"/>
        <s v="7.20-10.20"/>
        <s v="3.00-6.00"/>
        <s v="3.60-7.20"/>
        <s v="4.00-5.00"/>
        <s v="4.80-6.00"/>
        <s v="3.20-4.80"/>
        <s v="3.80-5.80"/>
        <s v="4.80-6.70"/>
        <s v="5.80-8.00"/>
        <m/>
      </sharedItems>
    </cacheField>
    <cacheField name="地块面积/亩" numFmtId="176">
      <sharedItems containsString="0" containsBlank="1" containsNumber="1" minValue="0" maxValue="86" count="26">
        <n v="80"/>
        <n v="55"/>
        <n v="35"/>
        <n v="72"/>
        <n v="68"/>
        <n v="60"/>
        <n v="46"/>
        <n v="40"/>
        <n v="28"/>
        <n v="25"/>
        <n v="86"/>
        <n v="44"/>
        <n v="50"/>
        <n v="45"/>
        <n v="20"/>
        <n v="15"/>
        <n v="13"/>
        <n v="18"/>
        <n v="27"/>
        <n v="10"/>
        <n v="14"/>
        <n v="6"/>
        <n v="12"/>
        <n v="22"/>
        <n v="0.6"/>
        <m/>
      </sharedItems>
    </cacheField>
    <cacheField name="种植面积/亩" numFmtId="176">
      <sharedItems containsString="0" containsBlank="1" containsNumber="1" minValue="0" maxValue="86" count="27">
        <n v="80"/>
        <n v="55"/>
        <n v="35"/>
        <n v="72"/>
        <n v="68"/>
        <n v="60"/>
        <n v="46"/>
        <n v="40"/>
        <n v="28"/>
        <n v="25"/>
        <n v="86"/>
        <n v="44"/>
        <n v="50"/>
        <n v="45"/>
        <n v="20"/>
        <n v="15"/>
        <n v="13"/>
        <n v="18"/>
        <n v="27"/>
        <n v="10"/>
        <n v="14"/>
        <n v="6"/>
        <n v="12"/>
        <n v="22"/>
        <n v="0.6"/>
        <n v="0.3"/>
        <m/>
      </sharedItems>
    </cacheField>
    <cacheField name="总产量/斤" numFmtId="0">
      <sharedItems containsString="0" containsBlank="1" containsNumber="1" containsInteger="1" minValue="0" maxValue="70000" count="113">
        <n v="64000"/>
        <n v="60800"/>
        <n v="57600"/>
        <n v="55000"/>
        <n v="52250"/>
        <n v="49500"/>
        <n v="35000"/>
        <n v="33250"/>
        <n v="31500"/>
        <n v="28800"/>
        <n v="27360"/>
        <n v="25920"/>
        <n v="23800"/>
        <n v="22440"/>
        <n v="21420"/>
        <n v="22000"/>
        <n v="20900"/>
        <n v="19800"/>
        <n v="48000"/>
        <n v="45600"/>
        <n v="43200"/>
        <n v="23000"/>
        <n v="21850"/>
        <n v="20700"/>
        <n v="16000"/>
        <n v="15200"/>
        <n v="14400"/>
        <n v="9800"/>
        <n v="9240"/>
        <n v="8820"/>
        <n v="10375"/>
        <n v="9875"/>
        <n v="9375"/>
        <n v="34400"/>
        <n v="32680"/>
        <n v="30960"/>
        <n v="44000"/>
        <n v="41800"/>
        <n v="39600"/>
        <n v="17600"/>
        <n v="16720"/>
        <n v="15840"/>
        <n v="30000"/>
        <n v="28500"/>
        <n v="13125"/>
        <n v="12500"/>
        <n v="11875"/>
        <n v="24000"/>
        <n v="22800"/>
        <n v="21600"/>
        <n v="45000"/>
        <n v="42750"/>
        <n v="40500"/>
        <n v="14700"/>
        <n v="14000"/>
        <n v="13300"/>
        <n v="10500"/>
        <n v="10000"/>
        <n v="9500"/>
        <n v="1650"/>
        <n v="1575"/>
        <n v="1500"/>
        <n v="39000"/>
        <n v="37050"/>
        <n v="35100"/>
        <n v="6000"/>
        <n v="5700"/>
        <n v="5400"/>
        <n v="37800"/>
        <n v="36000"/>
        <n v="20520"/>
        <n v="19440"/>
        <n v="8000"/>
        <n v="7600"/>
        <n v="7200"/>
        <n v="33000"/>
        <n v="60000"/>
        <n v="32000"/>
        <n v="40000"/>
        <n v="50000"/>
        <n v="33600"/>
        <n v="42000"/>
        <n v="70000"/>
        <n v="38400"/>
        <n v="26400"/>
        <n v="11000"/>
        <n v="1200"/>
        <n v="1440"/>
        <n v="1320"/>
        <n v="3000"/>
        <n v="1800"/>
        <n v="1620"/>
        <n v="1980"/>
        <n v="2400"/>
        <n v="2160"/>
        <n v="2220"/>
        <n v="2700"/>
        <n v="2460"/>
        <n v="1920"/>
        <n v="600"/>
        <n v="3840"/>
        <n v="4800"/>
        <n v="4320"/>
        <n v="9000"/>
        <n v="8100"/>
        <n v="960"/>
        <n v="1080"/>
        <n v="6600"/>
        <n v="3600"/>
        <n v="3240"/>
        <n v="3300"/>
        <n v="3960"/>
        <m/>
      </sharedItems>
    </cacheField>
    <cacheField name="平均销售单价/(元/斤)" numFmtId="176">
      <sharedItems containsString="0" containsBlank="1" containsNumber="1" minValue="0" maxValue="100" count="38">
        <n v="3.5"/>
        <n v="3"/>
        <n v="3.25"/>
        <n v="7"/>
        <n v="6.75"/>
        <n v="7.5"/>
        <n v="8.25"/>
        <n v="6"/>
        <n v="5.5"/>
        <n v="40"/>
        <n v="1.5"/>
        <n v="3.75"/>
        <n v="4.5"/>
        <n v="2.5"/>
        <n v="5.75"/>
        <n v="6.9"/>
        <n v="6.25"/>
        <n v="6.6"/>
        <n v="8"/>
        <n v="9.6"/>
        <n v="8.1"/>
        <n v="57.5"/>
        <n v="5.25"/>
        <n v="6.8"/>
        <n v="6.5"/>
        <n v="7.8"/>
        <n v="19"/>
        <n v="5"/>
        <n v="16"/>
        <n v="100"/>
        <n v="8.4"/>
        <n v="6.3"/>
        <n v="7.25"/>
        <n v="8.7"/>
        <n v="5.4"/>
        <n v="4"/>
        <n v="4.8"/>
        <m/>
      </sharedItems>
    </cacheField>
    <cacheField name="亩产量/斤" numFmtId="176">
      <sharedItems containsString="0" containsBlank="1" containsNumber="1" containsInteger="1" minValue="0" maxValue="15000" count="56">
        <n v="800"/>
        <n v="760"/>
        <n v="720"/>
        <n v="1000"/>
        <n v="950"/>
        <n v="900"/>
        <n v="400"/>
        <n v="380"/>
        <n v="360"/>
        <n v="350"/>
        <n v="330"/>
        <n v="315"/>
        <n v="500"/>
        <n v="475"/>
        <n v="450"/>
        <n v="415"/>
        <n v="395"/>
        <n v="375"/>
        <n v="630"/>
        <n v="600"/>
        <n v="570"/>
        <n v="525"/>
        <n v="420"/>
        <n v="110"/>
        <n v="105"/>
        <n v="100"/>
        <n v="3000"/>
        <n v="2850"/>
        <n v="2700"/>
        <n v="2200"/>
        <n v="2100"/>
        <n v="2000"/>
        <n v="2400"/>
        <n v="4000"/>
        <n v="3200"/>
        <n v="3600"/>
        <n v="5000"/>
        <n v="6400"/>
        <n v="8000"/>
        <n v="7200"/>
        <n v="3300"/>
        <n v="3700"/>
        <n v="4500"/>
        <n v="4100"/>
        <n v="10000"/>
        <n v="12000"/>
        <n v="15000"/>
        <n v="13500"/>
        <n v="1600"/>
        <n v="1800"/>
        <n v="11000"/>
        <n v="6000"/>
        <n v="5400"/>
        <n v="5500"/>
        <n v="6600"/>
        <m/>
      </sharedItems>
    </cacheField>
    <cacheField name="种植成本/(元/亩)" numFmtId="176">
      <sharedItems containsString="0" containsBlank="1" containsNumber="1" containsInteger="1" minValue="0" maxValue="10000" count="31">
        <n v="450"/>
        <n v="500"/>
        <n v="400"/>
        <n v="350"/>
        <n v="360"/>
        <n v="1000"/>
        <n v="2000"/>
        <n v="2400"/>
        <n v="2640"/>
        <n v="1600"/>
        <n v="2200"/>
        <n v="1200"/>
        <n v="1320"/>
        <n v="680"/>
        <n v="3000"/>
        <n v="3300"/>
        <n v="2900"/>
        <n v="3500"/>
        <n v="3850"/>
        <n v="10000"/>
        <n v="1300"/>
        <n v="4100"/>
        <n v="5000"/>
        <n v="5500"/>
        <n v="2500"/>
        <n v="2750"/>
        <n v="900"/>
        <n v="1100"/>
        <n v="2300"/>
        <n v="2700"/>
        <m/>
      </sharedItems>
    </cacheField>
    <cacheField name="收益/元" numFmtId="0">
      <sharedItems containsString="0" containsBlank="1" containsNumber="1" minValue="0" maxValue="280800" count="176">
        <n v="188000"/>
        <n v="176800"/>
        <n v="165600"/>
        <n v="137500"/>
        <n v="129250"/>
        <n v="121000"/>
        <n v="87500"/>
        <n v="82250"/>
        <n v="77000"/>
        <n v="64800"/>
        <n v="60120"/>
        <n v="55440"/>
        <n v="142800"/>
        <n v="133280"/>
        <n v="126140"/>
        <n v="128700"/>
        <n v="121275"/>
        <n v="113850"/>
        <n v="141000"/>
        <n v="132600"/>
        <n v="124200"/>
        <n v="154100"/>
        <n v="145475"/>
        <n v="136850"/>
        <n v="118000"/>
        <n v="111400"/>
        <n v="104800"/>
        <n v="58800"/>
        <n v="54880"/>
        <n v="51940"/>
        <n v="61281.25"/>
        <n v="57906.25"/>
        <n v="54531.25"/>
        <n v="201240"/>
        <n v="189630"/>
        <n v="178020"/>
        <n v="121550"/>
        <n v="102960"/>
        <n v="97020"/>
        <n v="91080"/>
        <n v="169000"/>
        <n v="160000"/>
        <n v="151000"/>
        <n v="89437.5"/>
        <n v="84750"/>
        <n v="80062.5"/>
        <n v="54000"/>
        <n v="50100"/>
        <n v="46200"/>
        <n v="112500"/>
        <n v="105750"/>
        <n v="99000"/>
        <n v="66850"/>
        <n v="63000"/>
        <n v="59150"/>
        <n v="29750"/>
        <n v="28000"/>
        <n v="26250"/>
        <n v="60750"/>
        <n v="57750"/>
        <n v="54750"/>
        <n v="45500"/>
        <n v="42575"/>
        <n v="39650"/>
        <n v="13500"/>
        <n v="12525"/>
        <n v="11550"/>
        <n v="92700"/>
        <n v="86850"/>
        <n v="81000"/>
        <n v="63450"/>
        <n v="59670"/>
        <n v="55890"/>
        <n v="59000"/>
        <n v="55700"/>
        <n v="52400"/>
        <n v="82500"/>
        <n v="108900"/>
        <n v="142500"/>
        <n v="168000"/>
        <n v="210000"/>
        <n v="226400"/>
        <n v="105000"/>
        <n v="182000"/>
        <n v="228900"/>
        <n v="246540"/>
        <n v="147000"/>
        <n v="199200"/>
        <n v="249600"/>
        <n v="269280"/>
        <n v="220000"/>
        <n v="264000"/>
        <n v="280800"/>
        <n v="95000"/>
        <n v="150000"/>
        <n v="180000"/>
        <n v="198000"/>
        <n v="111000"/>
        <n v="62040"/>
        <n v="56400"/>
        <n v="7500"/>
        <n v="9000"/>
        <n v="9900"/>
        <n v="170700"/>
        <n v="6600"/>
        <n v="8250"/>
        <n v="9696"/>
        <n v="9450"/>
        <n v="11400"/>
        <n v="12276"/>
        <n v="12690"/>
        <n v="15450"/>
        <n v="16878"/>
        <n v="44400"/>
        <n v="10080"/>
        <n v="12600"/>
        <n v="13584"/>
        <n v="11340"/>
        <n v="13800"/>
        <n v="14880"/>
        <n v="10500"/>
        <n v="13392"/>
        <n v="90000"/>
        <n v="13200"/>
        <n v="15840"/>
        <n v="16848"/>
        <n v="19920"/>
        <n v="24960"/>
        <n v="26928"/>
        <n v="7800"/>
        <n v="9810"/>
        <n v="10566"/>
        <n v="48660"/>
        <n v="60900"/>
        <n v="65730"/>
        <n v="12435"/>
        <n v="15150"/>
        <n v="16350"/>
        <n v="11820"/>
        <n v="14400"/>
        <n v="15540"/>
        <n v="6360"/>
        <n v="7980"/>
        <n v="8616"/>
        <n v="25770"/>
        <n v="30900"/>
        <n v="33990"/>
        <n v="12900"/>
        <n v="16671"/>
        <n v="7080"/>
        <n v="8850"/>
        <n v="10356"/>
        <n v="8400"/>
        <n v="10530"/>
        <n v="11358"/>
        <n v="10170"/>
        <n v="12300"/>
        <n v="13266"/>
        <n v="13560"/>
        <n v="16500"/>
        <n v="18033"/>
        <n v="20520"/>
        <n v="25680"/>
        <n v="27720"/>
        <n v="49530"/>
        <n v="61950"/>
        <n v="66885"/>
        <n v="10560"/>
        <n v="14244"/>
        <n v="12930"/>
        <n v="15510"/>
        <n v="16920"/>
        <n v="8625"/>
        <n v="10575"/>
        <n v="1152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4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0"/>
    <x v="0"/>
    <x v="0"/>
    <x v="1"/>
    <x v="0"/>
    <x v="1"/>
    <x v="0"/>
    <x v="1"/>
  </r>
  <r>
    <x v="2"/>
    <x v="0"/>
    <x v="0"/>
    <x v="0"/>
    <x v="0"/>
    <x v="0"/>
    <x v="2"/>
    <x v="0"/>
    <x v="0"/>
    <x v="0"/>
    <x v="2"/>
    <x v="0"/>
    <x v="2"/>
    <x v="0"/>
    <x v="2"/>
  </r>
  <r>
    <x v="3"/>
    <x v="1"/>
    <x v="1"/>
    <x v="1"/>
    <x v="0"/>
    <x v="0"/>
    <x v="0"/>
    <x v="1"/>
    <x v="1"/>
    <x v="1"/>
    <x v="3"/>
    <x v="1"/>
    <x v="3"/>
    <x v="1"/>
    <x v="3"/>
  </r>
  <r>
    <x v="4"/>
    <x v="1"/>
    <x v="1"/>
    <x v="1"/>
    <x v="0"/>
    <x v="0"/>
    <x v="1"/>
    <x v="1"/>
    <x v="1"/>
    <x v="1"/>
    <x v="4"/>
    <x v="1"/>
    <x v="4"/>
    <x v="1"/>
    <x v="4"/>
  </r>
  <r>
    <x v="5"/>
    <x v="1"/>
    <x v="1"/>
    <x v="1"/>
    <x v="0"/>
    <x v="0"/>
    <x v="2"/>
    <x v="1"/>
    <x v="1"/>
    <x v="1"/>
    <x v="5"/>
    <x v="1"/>
    <x v="5"/>
    <x v="1"/>
    <x v="5"/>
  </r>
  <r>
    <x v="6"/>
    <x v="2"/>
    <x v="1"/>
    <x v="1"/>
    <x v="0"/>
    <x v="0"/>
    <x v="0"/>
    <x v="1"/>
    <x v="2"/>
    <x v="2"/>
    <x v="6"/>
    <x v="1"/>
    <x v="3"/>
    <x v="1"/>
    <x v="6"/>
  </r>
  <r>
    <x v="7"/>
    <x v="2"/>
    <x v="1"/>
    <x v="1"/>
    <x v="0"/>
    <x v="0"/>
    <x v="1"/>
    <x v="1"/>
    <x v="2"/>
    <x v="2"/>
    <x v="7"/>
    <x v="1"/>
    <x v="4"/>
    <x v="1"/>
    <x v="7"/>
  </r>
  <r>
    <x v="8"/>
    <x v="2"/>
    <x v="1"/>
    <x v="1"/>
    <x v="0"/>
    <x v="0"/>
    <x v="2"/>
    <x v="1"/>
    <x v="2"/>
    <x v="2"/>
    <x v="8"/>
    <x v="1"/>
    <x v="5"/>
    <x v="1"/>
    <x v="8"/>
  </r>
  <r>
    <x v="9"/>
    <x v="3"/>
    <x v="2"/>
    <x v="2"/>
    <x v="1"/>
    <x v="0"/>
    <x v="0"/>
    <x v="2"/>
    <x v="3"/>
    <x v="3"/>
    <x v="9"/>
    <x v="2"/>
    <x v="6"/>
    <x v="2"/>
    <x v="9"/>
  </r>
  <r>
    <x v="10"/>
    <x v="3"/>
    <x v="2"/>
    <x v="2"/>
    <x v="1"/>
    <x v="0"/>
    <x v="1"/>
    <x v="2"/>
    <x v="3"/>
    <x v="3"/>
    <x v="10"/>
    <x v="2"/>
    <x v="7"/>
    <x v="2"/>
    <x v="10"/>
  </r>
  <r>
    <x v="11"/>
    <x v="3"/>
    <x v="2"/>
    <x v="2"/>
    <x v="1"/>
    <x v="0"/>
    <x v="2"/>
    <x v="2"/>
    <x v="3"/>
    <x v="3"/>
    <x v="11"/>
    <x v="2"/>
    <x v="8"/>
    <x v="2"/>
    <x v="11"/>
  </r>
  <r>
    <x v="12"/>
    <x v="4"/>
    <x v="3"/>
    <x v="3"/>
    <x v="1"/>
    <x v="0"/>
    <x v="0"/>
    <x v="3"/>
    <x v="4"/>
    <x v="4"/>
    <x v="12"/>
    <x v="3"/>
    <x v="9"/>
    <x v="3"/>
    <x v="12"/>
  </r>
  <r>
    <x v="13"/>
    <x v="4"/>
    <x v="3"/>
    <x v="3"/>
    <x v="1"/>
    <x v="0"/>
    <x v="1"/>
    <x v="3"/>
    <x v="4"/>
    <x v="4"/>
    <x v="13"/>
    <x v="3"/>
    <x v="10"/>
    <x v="3"/>
    <x v="13"/>
  </r>
  <r>
    <x v="14"/>
    <x v="4"/>
    <x v="3"/>
    <x v="3"/>
    <x v="1"/>
    <x v="0"/>
    <x v="2"/>
    <x v="3"/>
    <x v="4"/>
    <x v="4"/>
    <x v="14"/>
    <x v="3"/>
    <x v="11"/>
    <x v="3"/>
    <x v="14"/>
  </r>
  <r>
    <x v="15"/>
    <x v="5"/>
    <x v="4"/>
    <x v="4"/>
    <x v="0"/>
    <x v="0"/>
    <x v="0"/>
    <x v="4"/>
    <x v="1"/>
    <x v="1"/>
    <x v="15"/>
    <x v="4"/>
    <x v="6"/>
    <x v="4"/>
    <x v="15"/>
  </r>
  <r>
    <x v="16"/>
    <x v="5"/>
    <x v="4"/>
    <x v="4"/>
    <x v="0"/>
    <x v="0"/>
    <x v="1"/>
    <x v="4"/>
    <x v="1"/>
    <x v="1"/>
    <x v="16"/>
    <x v="4"/>
    <x v="7"/>
    <x v="4"/>
    <x v="16"/>
  </r>
  <r>
    <x v="17"/>
    <x v="5"/>
    <x v="4"/>
    <x v="4"/>
    <x v="0"/>
    <x v="0"/>
    <x v="2"/>
    <x v="4"/>
    <x v="1"/>
    <x v="1"/>
    <x v="17"/>
    <x v="4"/>
    <x v="8"/>
    <x v="4"/>
    <x v="17"/>
  </r>
  <r>
    <x v="18"/>
    <x v="6"/>
    <x v="0"/>
    <x v="0"/>
    <x v="0"/>
    <x v="0"/>
    <x v="0"/>
    <x v="0"/>
    <x v="5"/>
    <x v="5"/>
    <x v="18"/>
    <x v="0"/>
    <x v="0"/>
    <x v="0"/>
    <x v="18"/>
  </r>
  <r>
    <x v="19"/>
    <x v="6"/>
    <x v="0"/>
    <x v="0"/>
    <x v="0"/>
    <x v="0"/>
    <x v="1"/>
    <x v="0"/>
    <x v="5"/>
    <x v="5"/>
    <x v="19"/>
    <x v="0"/>
    <x v="1"/>
    <x v="0"/>
    <x v="19"/>
  </r>
  <r>
    <x v="20"/>
    <x v="6"/>
    <x v="0"/>
    <x v="0"/>
    <x v="0"/>
    <x v="0"/>
    <x v="2"/>
    <x v="0"/>
    <x v="5"/>
    <x v="5"/>
    <x v="20"/>
    <x v="0"/>
    <x v="2"/>
    <x v="0"/>
    <x v="20"/>
  </r>
  <r>
    <x v="21"/>
    <x v="7"/>
    <x v="5"/>
    <x v="5"/>
    <x v="1"/>
    <x v="0"/>
    <x v="0"/>
    <x v="5"/>
    <x v="6"/>
    <x v="6"/>
    <x v="21"/>
    <x v="5"/>
    <x v="12"/>
    <x v="2"/>
    <x v="21"/>
  </r>
  <r>
    <x v="22"/>
    <x v="7"/>
    <x v="5"/>
    <x v="5"/>
    <x v="1"/>
    <x v="0"/>
    <x v="1"/>
    <x v="5"/>
    <x v="6"/>
    <x v="6"/>
    <x v="22"/>
    <x v="5"/>
    <x v="13"/>
    <x v="2"/>
    <x v="22"/>
  </r>
  <r>
    <x v="23"/>
    <x v="7"/>
    <x v="5"/>
    <x v="5"/>
    <x v="1"/>
    <x v="0"/>
    <x v="2"/>
    <x v="5"/>
    <x v="6"/>
    <x v="6"/>
    <x v="23"/>
    <x v="5"/>
    <x v="14"/>
    <x v="2"/>
    <x v="23"/>
  </r>
  <r>
    <x v="24"/>
    <x v="8"/>
    <x v="6"/>
    <x v="6"/>
    <x v="1"/>
    <x v="0"/>
    <x v="0"/>
    <x v="6"/>
    <x v="7"/>
    <x v="7"/>
    <x v="24"/>
    <x v="6"/>
    <x v="6"/>
    <x v="3"/>
    <x v="24"/>
  </r>
  <r>
    <x v="25"/>
    <x v="8"/>
    <x v="6"/>
    <x v="6"/>
    <x v="1"/>
    <x v="0"/>
    <x v="1"/>
    <x v="6"/>
    <x v="7"/>
    <x v="7"/>
    <x v="25"/>
    <x v="6"/>
    <x v="7"/>
    <x v="3"/>
    <x v="25"/>
  </r>
  <r>
    <x v="26"/>
    <x v="8"/>
    <x v="6"/>
    <x v="6"/>
    <x v="1"/>
    <x v="0"/>
    <x v="2"/>
    <x v="6"/>
    <x v="7"/>
    <x v="7"/>
    <x v="26"/>
    <x v="6"/>
    <x v="8"/>
    <x v="3"/>
    <x v="26"/>
  </r>
  <r>
    <x v="27"/>
    <x v="9"/>
    <x v="3"/>
    <x v="3"/>
    <x v="1"/>
    <x v="0"/>
    <x v="0"/>
    <x v="3"/>
    <x v="8"/>
    <x v="8"/>
    <x v="27"/>
    <x v="3"/>
    <x v="9"/>
    <x v="3"/>
    <x v="27"/>
  </r>
  <r>
    <x v="28"/>
    <x v="9"/>
    <x v="3"/>
    <x v="3"/>
    <x v="1"/>
    <x v="0"/>
    <x v="1"/>
    <x v="3"/>
    <x v="8"/>
    <x v="8"/>
    <x v="28"/>
    <x v="3"/>
    <x v="10"/>
    <x v="3"/>
    <x v="28"/>
  </r>
  <r>
    <x v="29"/>
    <x v="9"/>
    <x v="3"/>
    <x v="3"/>
    <x v="1"/>
    <x v="0"/>
    <x v="2"/>
    <x v="3"/>
    <x v="8"/>
    <x v="8"/>
    <x v="29"/>
    <x v="3"/>
    <x v="11"/>
    <x v="3"/>
    <x v="29"/>
  </r>
  <r>
    <x v="30"/>
    <x v="10"/>
    <x v="7"/>
    <x v="7"/>
    <x v="1"/>
    <x v="0"/>
    <x v="0"/>
    <x v="4"/>
    <x v="9"/>
    <x v="9"/>
    <x v="30"/>
    <x v="4"/>
    <x v="15"/>
    <x v="3"/>
    <x v="30"/>
  </r>
  <r>
    <x v="31"/>
    <x v="10"/>
    <x v="7"/>
    <x v="7"/>
    <x v="1"/>
    <x v="0"/>
    <x v="1"/>
    <x v="4"/>
    <x v="9"/>
    <x v="9"/>
    <x v="31"/>
    <x v="4"/>
    <x v="16"/>
    <x v="3"/>
    <x v="31"/>
  </r>
  <r>
    <x v="32"/>
    <x v="10"/>
    <x v="7"/>
    <x v="7"/>
    <x v="1"/>
    <x v="0"/>
    <x v="2"/>
    <x v="4"/>
    <x v="9"/>
    <x v="9"/>
    <x v="32"/>
    <x v="4"/>
    <x v="17"/>
    <x v="3"/>
    <x v="32"/>
  </r>
  <r>
    <x v="33"/>
    <x v="11"/>
    <x v="4"/>
    <x v="4"/>
    <x v="0"/>
    <x v="0"/>
    <x v="0"/>
    <x v="4"/>
    <x v="10"/>
    <x v="10"/>
    <x v="33"/>
    <x v="4"/>
    <x v="6"/>
    <x v="4"/>
    <x v="33"/>
  </r>
  <r>
    <x v="34"/>
    <x v="11"/>
    <x v="4"/>
    <x v="4"/>
    <x v="0"/>
    <x v="0"/>
    <x v="1"/>
    <x v="4"/>
    <x v="10"/>
    <x v="10"/>
    <x v="34"/>
    <x v="4"/>
    <x v="7"/>
    <x v="4"/>
    <x v="34"/>
  </r>
  <r>
    <x v="35"/>
    <x v="11"/>
    <x v="4"/>
    <x v="4"/>
    <x v="0"/>
    <x v="0"/>
    <x v="2"/>
    <x v="4"/>
    <x v="10"/>
    <x v="10"/>
    <x v="35"/>
    <x v="4"/>
    <x v="8"/>
    <x v="4"/>
    <x v="35"/>
  </r>
  <r>
    <x v="36"/>
    <x v="12"/>
    <x v="0"/>
    <x v="0"/>
    <x v="0"/>
    <x v="0"/>
    <x v="0"/>
    <x v="0"/>
    <x v="1"/>
    <x v="1"/>
    <x v="36"/>
    <x v="0"/>
    <x v="0"/>
    <x v="0"/>
    <x v="4"/>
  </r>
  <r>
    <x v="37"/>
    <x v="12"/>
    <x v="0"/>
    <x v="0"/>
    <x v="0"/>
    <x v="0"/>
    <x v="1"/>
    <x v="0"/>
    <x v="1"/>
    <x v="1"/>
    <x v="37"/>
    <x v="0"/>
    <x v="1"/>
    <x v="0"/>
    <x v="36"/>
  </r>
  <r>
    <x v="38"/>
    <x v="12"/>
    <x v="0"/>
    <x v="0"/>
    <x v="0"/>
    <x v="0"/>
    <x v="2"/>
    <x v="0"/>
    <x v="1"/>
    <x v="1"/>
    <x v="38"/>
    <x v="0"/>
    <x v="2"/>
    <x v="0"/>
    <x v="17"/>
  </r>
  <r>
    <x v="39"/>
    <x v="13"/>
    <x v="4"/>
    <x v="4"/>
    <x v="0"/>
    <x v="0"/>
    <x v="0"/>
    <x v="4"/>
    <x v="11"/>
    <x v="11"/>
    <x v="39"/>
    <x v="4"/>
    <x v="6"/>
    <x v="4"/>
    <x v="37"/>
  </r>
  <r>
    <x v="40"/>
    <x v="13"/>
    <x v="4"/>
    <x v="4"/>
    <x v="0"/>
    <x v="0"/>
    <x v="1"/>
    <x v="4"/>
    <x v="11"/>
    <x v="11"/>
    <x v="40"/>
    <x v="4"/>
    <x v="7"/>
    <x v="4"/>
    <x v="38"/>
  </r>
  <r>
    <x v="41"/>
    <x v="13"/>
    <x v="4"/>
    <x v="4"/>
    <x v="0"/>
    <x v="0"/>
    <x v="2"/>
    <x v="4"/>
    <x v="11"/>
    <x v="11"/>
    <x v="41"/>
    <x v="4"/>
    <x v="8"/>
    <x v="4"/>
    <x v="39"/>
  </r>
  <r>
    <x v="42"/>
    <x v="14"/>
    <x v="8"/>
    <x v="8"/>
    <x v="0"/>
    <x v="0"/>
    <x v="0"/>
    <x v="7"/>
    <x v="12"/>
    <x v="12"/>
    <x v="8"/>
    <x v="7"/>
    <x v="18"/>
    <x v="2"/>
    <x v="40"/>
  </r>
  <r>
    <x v="43"/>
    <x v="14"/>
    <x v="8"/>
    <x v="8"/>
    <x v="0"/>
    <x v="0"/>
    <x v="1"/>
    <x v="7"/>
    <x v="12"/>
    <x v="12"/>
    <x v="42"/>
    <x v="7"/>
    <x v="19"/>
    <x v="2"/>
    <x v="41"/>
  </r>
  <r>
    <x v="44"/>
    <x v="14"/>
    <x v="8"/>
    <x v="8"/>
    <x v="0"/>
    <x v="0"/>
    <x v="2"/>
    <x v="7"/>
    <x v="12"/>
    <x v="12"/>
    <x v="43"/>
    <x v="7"/>
    <x v="20"/>
    <x v="2"/>
    <x v="42"/>
  </r>
  <r>
    <x v="45"/>
    <x v="15"/>
    <x v="9"/>
    <x v="9"/>
    <x v="0"/>
    <x v="0"/>
    <x v="0"/>
    <x v="5"/>
    <x v="9"/>
    <x v="9"/>
    <x v="44"/>
    <x v="5"/>
    <x v="21"/>
    <x v="4"/>
    <x v="43"/>
  </r>
  <r>
    <x v="46"/>
    <x v="15"/>
    <x v="9"/>
    <x v="9"/>
    <x v="0"/>
    <x v="0"/>
    <x v="1"/>
    <x v="5"/>
    <x v="9"/>
    <x v="9"/>
    <x v="45"/>
    <x v="5"/>
    <x v="12"/>
    <x v="4"/>
    <x v="44"/>
  </r>
  <r>
    <x v="47"/>
    <x v="15"/>
    <x v="9"/>
    <x v="9"/>
    <x v="0"/>
    <x v="0"/>
    <x v="2"/>
    <x v="5"/>
    <x v="9"/>
    <x v="9"/>
    <x v="46"/>
    <x v="5"/>
    <x v="13"/>
    <x v="4"/>
    <x v="45"/>
  </r>
  <r>
    <x v="48"/>
    <x v="16"/>
    <x v="2"/>
    <x v="2"/>
    <x v="1"/>
    <x v="0"/>
    <x v="0"/>
    <x v="2"/>
    <x v="5"/>
    <x v="5"/>
    <x v="47"/>
    <x v="2"/>
    <x v="6"/>
    <x v="2"/>
    <x v="46"/>
  </r>
  <r>
    <x v="49"/>
    <x v="16"/>
    <x v="2"/>
    <x v="2"/>
    <x v="1"/>
    <x v="0"/>
    <x v="1"/>
    <x v="2"/>
    <x v="5"/>
    <x v="5"/>
    <x v="48"/>
    <x v="2"/>
    <x v="7"/>
    <x v="2"/>
    <x v="47"/>
  </r>
  <r>
    <x v="50"/>
    <x v="16"/>
    <x v="2"/>
    <x v="2"/>
    <x v="1"/>
    <x v="0"/>
    <x v="2"/>
    <x v="2"/>
    <x v="5"/>
    <x v="5"/>
    <x v="49"/>
    <x v="2"/>
    <x v="8"/>
    <x v="2"/>
    <x v="48"/>
  </r>
  <r>
    <x v="51"/>
    <x v="17"/>
    <x v="1"/>
    <x v="1"/>
    <x v="0"/>
    <x v="0"/>
    <x v="0"/>
    <x v="1"/>
    <x v="13"/>
    <x v="13"/>
    <x v="50"/>
    <x v="1"/>
    <x v="3"/>
    <x v="1"/>
    <x v="49"/>
  </r>
  <r>
    <x v="52"/>
    <x v="17"/>
    <x v="1"/>
    <x v="1"/>
    <x v="0"/>
    <x v="0"/>
    <x v="1"/>
    <x v="1"/>
    <x v="13"/>
    <x v="13"/>
    <x v="51"/>
    <x v="1"/>
    <x v="4"/>
    <x v="1"/>
    <x v="50"/>
  </r>
  <r>
    <x v="53"/>
    <x v="17"/>
    <x v="1"/>
    <x v="1"/>
    <x v="0"/>
    <x v="0"/>
    <x v="2"/>
    <x v="1"/>
    <x v="13"/>
    <x v="13"/>
    <x v="52"/>
    <x v="1"/>
    <x v="5"/>
    <x v="1"/>
    <x v="51"/>
  </r>
  <r>
    <x v="54"/>
    <x v="18"/>
    <x v="10"/>
    <x v="10"/>
    <x v="0"/>
    <x v="0"/>
    <x v="0"/>
    <x v="8"/>
    <x v="2"/>
    <x v="2"/>
    <x v="53"/>
    <x v="8"/>
    <x v="22"/>
    <x v="2"/>
    <x v="52"/>
  </r>
  <r>
    <x v="55"/>
    <x v="18"/>
    <x v="10"/>
    <x v="10"/>
    <x v="0"/>
    <x v="0"/>
    <x v="1"/>
    <x v="8"/>
    <x v="2"/>
    <x v="2"/>
    <x v="54"/>
    <x v="8"/>
    <x v="6"/>
    <x v="2"/>
    <x v="53"/>
  </r>
  <r>
    <x v="56"/>
    <x v="18"/>
    <x v="10"/>
    <x v="10"/>
    <x v="0"/>
    <x v="0"/>
    <x v="2"/>
    <x v="8"/>
    <x v="2"/>
    <x v="2"/>
    <x v="55"/>
    <x v="8"/>
    <x v="7"/>
    <x v="2"/>
    <x v="54"/>
  </r>
  <r>
    <x v="57"/>
    <x v="19"/>
    <x v="11"/>
    <x v="11"/>
    <x v="0"/>
    <x v="0"/>
    <x v="0"/>
    <x v="0"/>
    <x v="14"/>
    <x v="14"/>
    <x v="56"/>
    <x v="0"/>
    <x v="21"/>
    <x v="3"/>
    <x v="55"/>
  </r>
  <r>
    <x v="58"/>
    <x v="19"/>
    <x v="11"/>
    <x v="11"/>
    <x v="0"/>
    <x v="0"/>
    <x v="1"/>
    <x v="0"/>
    <x v="14"/>
    <x v="14"/>
    <x v="57"/>
    <x v="0"/>
    <x v="12"/>
    <x v="3"/>
    <x v="56"/>
  </r>
  <r>
    <x v="59"/>
    <x v="19"/>
    <x v="11"/>
    <x v="11"/>
    <x v="0"/>
    <x v="0"/>
    <x v="2"/>
    <x v="0"/>
    <x v="14"/>
    <x v="14"/>
    <x v="58"/>
    <x v="0"/>
    <x v="13"/>
    <x v="3"/>
    <x v="57"/>
  </r>
  <r>
    <x v="60"/>
    <x v="20"/>
    <x v="12"/>
    <x v="12"/>
    <x v="0"/>
    <x v="0"/>
    <x v="0"/>
    <x v="9"/>
    <x v="15"/>
    <x v="15"/>
    <x v="59"/>
    <x v="9"/>
    <x v="23"/>
    <x v="3"/>
    <x v="58"/>
  </r>
  <r>
    <x v="61"/>
    <x v="20"/>
    <x v="12"/>
    <x v="12"/>
    <x v="0"/>
    <x v="0"/>
    <x v="1"/>
    <x v="9"/>
    <x v="15"/>
    <x v="15"/>
    <x v="60"/>
    <x v="9"/>
    <x v="24"/>
    <x v="3"/>
    <x v="59"/>
  </r>
  <r>
    <x v="62"/>
    <x v="20"/>
    <x v="12"/>
    <x v="12"/>
    <x v="0"/>
    <x v="0"/>
    <x v="2"/>
    <x v="9"/>
    <x v="15"/>
    <x v="15"/>
    <x v="61"/>
    <x v="9"/>
    <x v="25"/>
    <x v="3"/>
    <x v="60"/>
  </r>
  <r>
    <x v="63"/>
    <x v="21"/>
    <x v="13"/>
    <x v="13"/>
    <x v="0"/>
    <x v="0"/>
    <x v="0"/>
    <x v="10"/>
    <x v="16"/>
    <x v="16"/>
    <x v="62"/>
    <x v="10"/>
    <x v="26"/>
    <x v="5"/>
    <x v="61"/>
  </r>
  <r>
    <x v="64"/>
    <x v="21"/>
    <x v="13"/>
    <x v="13"/>
    <x v="0"/>
    <x v="0"/>
    <x v="1"/>
    <x v="10"/>
    <x v="16"/>
    <x v="16"/>
    <x v="63"/>
    <x v="10"/>
    <x v="27"/>
    <x v="5"/>
    <x v="62"/>
  </r>
  <r>
    <x v="65"/>
    <x v="21"/>
    <x v="13"/>
    <x v="13"/>
    <x v="0"/>
    <x v="0"/>
    <x v="2"/>
    <x v="10"/>
    <x v="16"/>
    <x v="16"/>
    <x v="64"/>
    <x v="10"/>
    <x v="28"/>
    <x v="5"/>
    <x v="63"/>
  </r>
  <r>
    <x v="66"/>
    <x v="22"/>
    <x v="2"/>
    <x v="2"/>
    <x v="1"/>
    <x v="0"/>
    <x v="0"/>
    <x v="2"/>
    <x v="15"/>
    <x v="15"/>
    <x v="65"/>
    <x v="2"/>
    <x v="6"/>
    <x v="2"/>
    <x v="64"/>
  </r>
  <r>
    <x v="67"/>
    <x v="22"/>
    <x v="2"/>
    <x v="2"/>
    <x v="1"/>
    <x v="0"/>
    <x v="1"/>
    <x v="2"/>
    <x v="15"/>
    <x v="15"/>
    <x v="66"/>
    <x v="2"/>
    <x v="7"/>
    <x v="2"/>
    <x v="65"/>
  </r>
  <r>
    <x v="68"/>
    <x v="22"/>
    <x v="2"/>
    <x v="2"/>
    <x v="1"/>
    <x v="0"/>
    <x v="2"/>
    <x v="2"/>
    <x v="15"/>
    <x v="15"/>
    <x v="67"/>
    <x v="2"/>
    <x v="8"/>
    <x v="2"/>
    <x v="66"/>
  </r>
  <r>
    <x v="69"/>
    <x v="23"/>
    <x v="14"/>
    <x v="14"/>
    <x v="0"/>
    <x v="0"/>
    <x v="0"/>
    <x v="2"/>
    <x v="17"/>
    <x v="17"/>
    <x v="38"/>
    <x v="2"/>
    <x v="29"/>
    <x v="6"/>
    <x v="67"/>
  </r>
  <r>
    <x v="70"/>
    <x v="23"/>
    <x v="14"/>
    <x v="14"/>
    <x v="0"/>
    <x v="0"/>
    <x v="1"/>
    <x v="2"/>
    <x v="17"/>
    <x v="17"/>
    <x v="68"/>
    <x v="2"/>
    <x v="30"/>
    <x v="6"/>
    <x v="68"/>
  </r>
  <r>
    <x v="71"/>
    <x v="23"/>
    <x v="14"/>
    <x v="14"/>
    <x v="0"/>
    <x v="0"/>
    <x v="2"/>
    <x v="2"/>
    <x v="17"/>
    <x v="17"/>
    <x v="69"/>
    <x v="2"/>
    <x v="31"/>
    <x v="6"/>
    <x v="69"/>
  </r>
  <r>
    <x v="72"/>
    <x v="24"/>
    <x v="0"/>
    <x v="0"/>
    <x v="0"/>
    <x v="0"/>
    <x v="0"/>
    <x v="0"/>
    <x v="18"/>
    <x v="18"/>
    <x v="49"/>
    <x v="0"/>
    <x v="0"/>
    <x v="0"/>
    <x v="70"/>
  </r>
  <r>
    <x v="73"/>
    <x v="24"/>
    <x v="0"/>
    <x v="0"/>
    <x v="0"/>
    <x v="0"/>
    <x v="1"/>
    <x v="0"/>
    <x v="18"/>
    <x v="18"/>
    <x v="70"/>
    <x v="0"/>
    <x v="1"/>
    <x v="0"/>
    <x v="71"/>
  </r>
  <r>
    <x v="74"/>
    <x v="24"/>
    <x v="0"/>
    <x v="0"/>
    <x v="0"/>
    <x v="0"/>
    <x v="2"/>
    <x v="0"/>
    <x v="18"/>
    <x v="18"/>
    <x v="71"/>
    <x v="0"/>
    <x v="2"/>
    <x v="0"/>
    <x v="72"/>
  </r>
  <r>
    <x v="75"/>
    <x v="25"/>
    <x v="6"/>
    <x v="6"/>
    <x v="1"/>
    <x v="0"/>
    <x v="0"/>
    <x v="6"/>
    <x v="14"/>
    <x v="14"/>
    <x v="72"/>
    <x v="6"/>
    <x v="6"/>
    <x v="3"/>
    <x v="73"/>
  </r>
  <r>
    <x v="76"/>
    <x v="25"/>
    <x v="6"/>
    <x v="6"/>
    <x v="1"/>
    <x v="0"/>
    <x v="1"/>
    <x v="6"/>
    <x v="14"/>
    <x v="14"/>
    <x v="73"/>
    <x v="6"/>
    <x v="7"/>
    <x v="3"/>
    <x v="74"/>
  </r>
  <r>
    <x v="77"/>
    <x v="25"/>
    <x v="6"/>
    <x v="6"/>
    <x v="1"/>
    <x v="0"/>
    <x v="2"/>
    <x v="6"/>
    <x v="14"/>
    <x v="14"/>
    <x v="74"/>
    <x v="6"/>
    <x v="8"/>
    <x v="3"/>
    <x v="75"/>
  </r>
  <r>
    <x v="78"/>
    <x v="26"/>
    <x v="15"/>
    <x v="15"/>
    <x v="2"/>
    <x v="1"/>
    <x v="3"/>
    <x v="11"/>
    <x v="15"/>
    <x v="15"/>
    <x v="42"/>
    <x v="11"/>
    <x v="31"/>
    <x v="6"/>
    <x v="76"/>
  </r>
  <r>
    <x v="79"/>
    <x v="26"/>
    <x v="15"/>
    <x v="15"/>
    <x v="2"/>
    <x v="1"/>
    <x v="4"/>
    <x v="11"/>
    <x v="15"/>
    <x v="15"/>
    <x v="69"/>
    <x v="11"/>
    <x v="32"/>
    <x v="7"/>
    <x v="51"/>
  </r>
  <r>
    <x v="80"/>
    <x v="26"/>
    <x v="15"/>
    <x v="15"/>
    <x v="2"/>
    <x v="1"/>
    <x v="5"/>
    <x v="12"/>
    <x v="15"/>
    <x v="15"/>
    <x v="75"/>
    <x v="12"/>
    <x v="29"/>
    <x v="8"/>
    <x v="77"/>
  </r>
  <r>
    <x v="81"/>
    <x v="26"/>
    <x v="16"/>
    <x v="16"/>
    <x v="2"/>
    <x v="2"/>
    <x v="3"/>
    <x v="13"/>
    <x v="15"/>
    <x v="15"/>
    <x v="76"/>
    <x v="13"/>
    <x v="33"/>
    <x v="1"/>
    <x v="78"/>
  </r>
  <r>
    <x v="82"/>
    <x v="27"/>
    <x v="17"/>
    <x v="17"/>
    <x v="2"/>
    <x v="1"/>
    <x v="3"/>
    <x v="14"/>
    <x v="19"/>
    <x v="19"/>
    <x v="77"/>
    <x v="14"/>
    <x v="34"/>
    <x v="9"/>
    <x v="79"/>
  </r>
  <r>
    <x v="83"/>
    <x v="27"/>
    <x v="17"/>
    <x v="17"/>
    <x v="2"/>
    <x v="1"/>
    <x v="4"/>
    <x v="14"/>
    <x v="19"/>
    <x v="19"/>
    <x v="78"/>
    <x v="14"/>
    <x v="33"/>
    <x v="6"/>
    <x v="80"/>
  </r>
  <r>
    <x v="84"/>
    <x v="27"/>
    <x v="17"/>
    <x v="17"/>
    <x v="2"/>
    <x v="1"/>
    <x v="5"/>
    <x v="15"/>
    <x v="19"/>
    <x v="19"/>
    <x v="69"/>
    <x v="15"/>
    <x v="35"/>
    <x v="10"/>
    <x v="81"/>
  </r>
  <r>
    <x v="85"/>
    <x v="27"/>
    <x v="18"/>
    <x v="18"/>
    <x v="2"/>
    <x v="2"/>
    <x v="3"/>
    <x v="13"/>
    <x v="19"/>
    <x v="19"/>
    <x v="79"/>
    <x v="13"/>
    <x v="36"/>
    <x v="6"/>
    <x v="82"/>
  </r>
  <r>
    <x v="86"/>
    <x v="28"/>
    <x v="19"/>
    <x v="19"/>
    <x v="2"/>
    <x v="1"/>
    <x v="3"/>
    <x v="16"/>
    <x v="20"/>
    <x v="20"/>
    <x v="80"/>
    <x v="16"/>
    <x v="32"/>
    <x v="6"/>
    <x v="83"/>
  </r>
  <r>
    <x v="87"/>
    <x v="28"/>
    <x v="19"/>
    <x v="19"/>
    <x v="2"/>
    <x v="1"/>
    <x v="4"/>
    <x v="16"/>
    <x v="20"/>
    <x v="20"/>
    <x v="81"/>
    <x v="16"/>
    <x v="26"/>
    <x v="7"/>
    <x v="84"/>
  </r>
  <r>
    <x v="88"/>
    <x v="28"/>
    <x v="19"/>
    <x v="19"/>
    <x v="2"/>
    <x v="1"/>
    <x v="5"/>
    <x v="17"/>
    <x v="20"/>
    <x v="20"/>
    <x v="68"/>
    <x v="5"/>
    <x v="28"/>
    <x v="8"/>
    <x v="85"/>
  </r>
  <r>
    <x v="89"/>
    <x v="28"/>
    <x v="18"/>
    <x v="18"/>
    <x v="2"/>
    <x v="2"/>
    <x v="3"/>
    <x v="13"/>
    <x v="20"/>
    <x v="20"/>
    <x v="82"/>
    <x v="13"/>
    <x v="36"/>
    <x v="6"/>
    <x v="86"/>
  </r>
  <r>
    <x v="90"/>
    <x v="29"/>
    <x v="20"/>
    <x v="20"/>
    <x v="2"/>
    <x v="1"/>
    <x v="3"/>
    <x v="8"/>
    <x v="21"/>
    <x v="21"/>
    <x v="83"/>
    <x v="8"/>
    <x v="37"/>
    <x v="6"/>
    <x v="87"/>
  </r>
  <r>
    <x v="91"/>
    <x v="29"/>
    <x v="20"/>
    <x v="20"/>
    <x v="2"/>
    <x v="1"/>
    <x v="4"/>
    <x v="8"/>
    <x v="21"/>
    <x v="21"/>
    <x v="18"/>
    <x v="8"/>
    <x v="38"/>
    <x v="7"/>
    <x v="88"/>
  </r>
  <r>
    <x v="92"/>
    <x v="29"/>
    <x v="20"/>
    <x v="20"/>
    <x v="2"/>
    <x v="1"/>
    <x v="5"/>
    <x v="18"/>
    <x v="21"/>
    <x v="21"/>
    <x v="20"/>
    <x v="17"/>
    <x v="39"/>
    <x v="8"/>
    <x v="89"/>
  </r>
  <r>
    <x v="93"/>
    <x v="29"/>
    <x v="18"/>
    <x v="18"/>
    <x v="2"/>
    <x v="2"/>
    <x v="3"/>
    <x v="13"/>
    <x v="21"/>
    <x v="21"/>
    <x v="42"/>
    <x v="13"/>
    <x v="36"/>
    <x v="6"/>
    <x v="53"/>
  </r>
  <r>
    <x v="94"/>
    <x v="30"/>
    <x v="21"/>
    <x v="21"/>
    <x v="3"/>
    <x v="1"/>
    <x v="3"/>
    <x v="19"/>
    <x v="19"/>
    <x v="19"/>
    <x v="42"/>
    <x v="18"/>
    <x v="26"/>
    <x v="6"/>
    <x v="90"/>
  </r>
  <r>
    <x v="95"/>
    <x v="30"/>
    <x v="21"/>
    <x v="21"/>
    <x v="3"/>
    <x v="1"/>
    <x v="4"/>
    <x v="19"/>
    <x v="19"/>
    <x v="19"/>
    <x v="69"/>
    <x v="18"/>
    <x v="35"/>
    <x v="7"/>
    <x v="91"/>
  </r>
  <r>
    <x v="96"/>
    <x v="30"/>
    <x v="21"/>
    <x v="21"/>
    <x v="3"/>
    <x v="1"/>
    <x v="5"/>
    <x v="20"/>
    <x v="19"/>
    <x v="19"/>
    <x v="77"/>
    <x v="19"/>
    <x v="34"/>
    <x v="8"/>
    <x v="92"/>
  </r>
  <r>
    <x v="97"/>
    <x v="30"/>
    <x v="16"/>
    <x v="16"/>
    <x v="2"/>
    <x v="2"/>
    <x v="3"/>
    <x v="13"/>
    <x v="19"/>
    <x v="19"/>
    <x v="78"/>
    <x v="13"/>
    <x v="33"/>
    <x v="1"/>
    <x v="93"/>
  </r>
  <r>
    <x v="98"/>
    <x v="31"/>
    <x v="22"/>
    <x v="22"/>
    <x v="3"/>
    <x v="1"/>
    <x v="3"/>
    <x v="21"/>
    <x v="22"/>
    <x v="22"/>
    <x v="47"/>
    <x v="4"/>
    <x v="31"/>
    <x v="5"/>
    <x v="94"/>
  </r>
  <r>
    <x v="99"/>
    <x v="31"/>
    <x v="22"/>
    <x v="22"/>
    <x v="3"/>
    <x v="1"/>
    <x v="4"/>
    <x v="21"/>
    <x v="22"/>
    <x v="22"/>
    <x v="9"/>
    <x v="4"/>
    <x v="32"/>
    <x v="11"/>
    <x v="95"/>
  </r>
  <r>
    <x v="100"/>
    <x v="31"/>
    <x v="22"/>
    <x v="22"/>
    <x v="3"/>
    <x v="1"/>
    <x v="5"/>
    <x v="22"/>
    <x v="22"/>
    <x v="22"/>
    <x v="84"/>
    <x v="20"/>
    <x v="29"/>
    <x v="12"/>
    <x v="96"/>
  </r>
  <r>
    <x v="101"/>
    <x v="31"/>
    <x v="23"/>
    <x v="23"/>
    <x v="2"/>
    <x v="2"/>
    <x v="3"/>
    <x v="2"/>
    <x v="22"/>
    <x v="22"/>
    <x v="69"/>
    <x v="2"/>
    <x v="26"/>
    <x v="1"/>
    <x v="97"/>
  </r>
  <r>
    <x v="102"/>
    <x v="32"/>
    <x v="24"/>
    <x v="24"/>
    <x v="0"/>
    <x v="0"/>
    <x v="3"/>
    <x v="3"/>
    <x v="23"/>
    <x v="23"/>
    <x v="85"/>
    <x v="3"/>
    <x v="12"/>
    <x v="13"/>
    <x v="98"/>
  </r>
  <r>
    <x v="103"/>
    <x v="33"/>
    <x v="24"/>
    <x v="24"/>
    <x v="0"/>
    <x v="0"/>
    <x v="3"/>
    <x v="3"/>
    <x v="14"/>
    <x v="14"/>
    <x v="57"/>
    <x v="3"/>
    <x v="12"/>
    <x v="13"/>
    <x v="99"/>
  </r>
  <r>
    <x v="104"/>
    <x v="34"/>
    <x v="22"/>
    <x v="22"/>
    <x v="3"/>
    <x v="1"/>
    <x v="3"/>
    <x v="21"/>
    <x v="24"/>
    <x v="24"/>
    <x v="86"/>
    <x v="4"/>
    <x v="31"/>
    <x v="5"/>
    <x v="100"/>
  </r>
  <r>
    <x v="105"/>
    <x v="34"/>
    <x v="22"/>
    <x v="22"/>
    <x v="3"/>
    <x v="1"/>
    <x v="4"/>
    <x v="21"/>
    <x v="24"/>
    <x v="24"/>
    <x v="87"/>
    <x v="4"/>
    <x v="32"/>
    <x v="11"/>
    <x v="101"/>
  </r>
  <r>
    <x v="106"/>
    <x v="34"/>
    <x v="22"/>
    <x v="22"/>
    <x v="3"/>
    <x v="1"/>
    <x v="5"/>
    <x v="22"/>
    <x v="24"/>
    <x v="24"/>
    <x v="88"/>
    <x v="20"/>
    <x v="29"/>
    <x v="12"/>
    <x v="102"/>
  </r>
  <r>
    <x v="107"/>
    <x v="34"/>
    <x v="25"/>
    <x v="25"/>
    <x v="4"/>
    <x v="2"/>
    <x v="4"/>
    <x v="23"/>
    <x v="24"/>
    <x v="24"/>
    <x v="89"/>
    <x v="21"/>
    <x v="36"/>
    <x v="14"/>
    <x v="103"/>
  </r>
  <r>
    <x v="108"/>
    <x v="35"/>
    <x v="26"/>
    <x v="26"/>
    <x v="2"/>
    <x v="1"/>
    <x v="3"/>
    <x v="24"/>
    <x v="24"/>
    <x v="24"/>
    <x v="87"/>
    <x v="22"/>
    <x v="32"/>
    <x v="9"/>
    <x v="104"/>
  </r>
  <r>
    <x v="109"/>
    <x v="35"/>
    <x v="26"/>
    <x v="26"/>
    <x v="2"/>
    <x v="1"/>
    <x v="4"/>
    <x v="24"/>
    <x v="24"/>
    <x v="24"/>
    <x v="90"/>
    <x v="22"/>
    <x v="26"/>
    <x v="6"/>
    <x v="105"/>
  </r>
  <r>
    <x v="110"/>
    <x v="35"/>
    <x v="26"/>
    <x v="26"/>
    <x v="2"/>
    <x v="1"/>
    <x v="5"/>
    <x v="25"/>
    <x v="24"/>
    <x v="24"/>
    <x v="91"/>
    <x v="23"/>
    <x v="28"/>
    <x v="10"/>
    <x v="106"/>
  </r>
  <r>
    <x v="111"/>
    <x v="35"/>
    <x v="25"/>
    <x v="25"/>
    <x v="4"/>
    <x v="2"/>
    <x v="4"/>
    <x v="23"/>
    <x v="24"/>
    <x v="24"/>
    <x v="89"/>
    <x v="21"/>
    <x v="36"/>
    <x v="14"/>
    <x v="103"/>
  </r>
  <r>
    <x v="112"/>
    <x v="36"/>
    <x v="27"/>
    <x v="27"/>
    <x v="2"/>
    <x v="1"/>
    <x v="3"/>
    <x v="8"/>
    <x v="24"/>
    <x v="24"/>
    <x v="92"/>
    <x v="8"/>
    <x v="40"/>
    <x v="7"/>
    <x v="107"/>
  </r>
  <r>
    <x v="113"/>
    <x v="36"/>
    <x v="27"/>
    <x v="27"/>
    <x v="2"/>
    <x v="1"/>
    <x v="4"/>
    <x v="8"/>
    <x v="24"/>
    <x v="24"/>
    <x v="93"/>
    <x v="8"/>
    <x v="33"/>
    <x v="14"/>
    <x v="108"/>
  </r>
  <r>
    <x v="114"/>
    <x v="36"/>
    <x v="27"/>
    <x v="27"/>
    <x v="2"/>
    <x v="1"/>
    <x v="5"/>
    <x v="18"/>
    <x v="24"/>
    <x v="24"/>
    <x v="94"/>
    <x v="17"/>
    <x v="35"/>
    <x v="15"/>
    <x v="109"/>
  </r>
  <r>
    <x v="115"/>
    <x v="36"/>
    <x v="25"/>
    <x v="25"/>
    <x v="4"/>
    <x v="2"/>
    <x v="4"/>
    <x v="23"/>
    <x v="24"/>
    <x v="24"/>
    <x v="89"/>
    <x v="21"/>
    <x v="36"/>
    <x v="14"/>
    <x v="103"/>
  </r>
  <r>
    <x v="116"/>
    <x v="37"/>
    <x v="28"/>
    <x v="28"/>
    <x v="2"/>
    <x v="1"/>
    <x v="3"/>
    <x v="26"/>
    <x v="24"/>
    <x v="24"/>
    <x v="95"/>
    <x v="24"/>
    <x v="41"/>
    <x v="16"/>
    <x v="110"/>
  </r>
  <r>
    <x v="117"/>
    <x v="37"/>
    <x v="28"/>
    <x v="28"/>
    <x v="2"/>
    <x v="1"/>
    <x v="4"/>
    <x v="26"/>
    <x v="24"/>
    <x v="24"/>
    <x v="96"/>
    <x v="24"/>
    <x v="42"/>
    <x v="17"/>
    <x v="111"/>
  </r>
  <r>
    <x v="118"/>
    <x v="37"/>
    <x v="28"/>
    <x v="28"/>
    <x v="2"/>
    <x v="1"/>
    <x v="5"/>
    <x v="27"/>
    <x v="24"/>
    <x v="24"/>
    <x v="97"/>
    <x v="25"/>
    <x v="43"/>
    <x v="18"/>
    <x v="112"/>
  </r>
  <r>
    <x v="119"/>
    <x v="37"/>
    <x v="29"/>
    <x v="29"/>
    <x v="4"/>
    <x v="2"/>
    <x v="4"/>
    <x v="28"/>
    <x v="24"/>
    <x v="24"/>
    <x v="93"/>
    <x v="26"/>
    <x v="33"/>
    <x v="6"/>
    <x v="113"/>
  </r>
  <r>
    <x v="120"/>
    <x v="38"/>
    <x v="17"/>
    <x v="17"/>
    <x v="2"/>
    <x v="1"/>
    <x v="3"/>
    <x v="14"/>
    <x v="24"/>
    <x v="24"/>
    <x v="98"/>
    <x v="14"/>
    <x v="34"/>
    <x v="9"/>
    <x v="114"/>
  </r>
  <r>
    <x v="121"/>
    <x v="38"/>
    <x v="17"/>
    <x v="17"/>
    <x v="2"/>
    <x v="1"/>
    <x v="4"/>
    <x v="14"/>
    <x v="24"/>
    <x v="24"/>
    <x v="93"/>
    <x v="14"/>
    <x v="33"/>
    <x v="6"/>
    <x v="115"/>
  </r>
  <r>
    <x v="122"/>
    <x v="38"/>
    <x v="17"/>
    <x v="17"/>
    <x v="2"/>
    <x v="1"/>
    <x v="5"/>
    <x v="15"/>
    <x v="24"/>
    <x v="24"/>
    <x v="94"/>
    <x v="15"/>
    <x v="35"/>
    <x v="10"/>
    <x v="116"/>
  </r>
  <r>
    <x v="123"/>
    <x v="38"/>
    <x v="29"/>
    <x v="29"/>
    <x v="4"/>
    <x v="2"/>
    <x v="4"/>
    <x v="28"/>
    <x v="24"/>
    <x v="24"/>
    <x v="93"/>
    <x v="26"/>
    <x v="33"/>
    <x v="6"/>
    <x v="113"/>
  </r>
  <r>
    <x v="124"/>
    <x v="39"/>
    <x v="30"/>
    <x v="30"/>
    <x v="2"/>
    <x v="1"/>
    <x v="3"/>
    <x v="29"/>
    <x v="24"/>
    <x v="24"/>
    <x v="97"/>
    <x v="27"/>
    <x v="43"/>
    <x v="9"/>
    <x v="117"/>
  </r>
  <r>
    <x v="125"/>
    <x v="39"/>
    <x v="30"/>
    <x v="30"/>
    <x v="2"/>
    <x v="1"/>
    <x v="4"/>
    <x v="29"/>
    <x v="24"/>
    <x v="24"/>
    <x v="89"/>
    <x v="27"/>
    <x v="36"/>
    <x v="6"/>
    <x v="118"/>
  </r>
  <r>
    <x v="126"/>
    <x v="39"/>
    <x v="30"/>
    <x v="30"/>
    <x v="2"/>
    <x v="1"/>
    <x v="5"/>
    <x v="30"/>
    <x v="24"/>
    <x v="24"/>
    <x v="96"/>
    <x v="7"/>
    <x v="42"/>
    <x v="10"/>
    <x v="119"/>
  </r>
  <r>
    <x v="127"/>
    <x v="39"/>
    <x v="29"/>
    <x v="29"/>
    <x v="4"/>
    <x v="2"/>
    <x v="4"/>
    <x v="28"/>
    <x v="24"/>
    <x v="24"/>
    <x v="93"/>
    <x v="26"/>
    <x v="33"/>
    <x v="6"/>
    <x v="113"/>
  </r>
  <r>
    <x v="128"/>
    <x v="40"/>
    <x v="31"/>
    <x v="31"/>
    <x v="3"/>
    <x v="1"/>
    <x v="3"/>
    <x v="31"/>
    <x v="24"/>
    <x v="24"/>
    <x v="90"/>
    <x v="24"/>
    <x v="26"/>
    <x v="6"/>
    <x v="120"/>
  </r>
  <r>
    <x v="129"/>
    <x v="40"/>
    <x v="31"/>
    <x v="31"/>
    <x v="3"/>
    <x v="1"/>
    <x v="4"/>
    <x v="31"/>
    <x v="24"/>
    <x v="24"/>
    <x v="94"/>
    <x v="24"/>
    <x v="35"/>
    <x v="7"/>
    <x v="115"/>
  </r>
  <r>
    <x v="130"/>
    <x v="40"/>
    <x v="31"/>
    <x v="31"/>
    <x v="3"/>
    <x v="1"/>
    <x v="5"/>
    <x v="32"/>
    <x v="24"/>
    <x v="24"/>
    <x v="98"/>
    <x v="25"/>
    <x v="34"/>
    <x v="8"/>
    <x v="121"/>
  </r>
  <r>
    <x v="131"/>
    <x v="40"/>
    <x v="32"/>
    <x v="32"/>
    <x v="4"/>
    <x v="2"/>
    <x v="4"/>
    <x v="33"/>
    <x v="24"/>
    <x v="24"/>
    <x v="65"/>
    <x v="28"/>
    <x v="44"/>
    <x v="19"/>
    <x v="122"/>
  </r>
  <r>
    <x v="132"/>
    <x v="41"/>
    <x v="31"/>
    <x v="31"/>
    <x v="3"/>
    <x v="1"/>
    <x v="3"/>
    <x v="31"/>
    <x v="24"/>
    <x v="24"/>
    <x v="90"/>
    <x v="24"/>
    <x v="26"/>
    <x v="6"/>
    <x v="120"/>
  </r>
  <r>
    <x v="133"/>
    <x v="41"/>
    <x v="31"/>
    <x v="31"/>
    <x v="3"/>
    <x v="1"/>
    <x v="4"/>
    <x v="31"/>
    <x v="24"/>
    <x v="24"/>
    <x v="94"/>
    <x v="24"/>
    <x v="35"/>
    <x v="7"/>
    <x v="115"/>
  </r>
  <r>
    <x v="134"/>
    <x v="41"/>
    <x v="31"/>
    <x v="31"/>
    <x v="3"/>
    <x v="1"/>
    <x v="5"/>
    <x v="32"/>
    <x v="24"/>
    <x v="24"/>
    <x v="98"/>
    <x v="25"/>
    <x v="34"/>
    <x v="8"/>
    <x v="121"/>
  </r>
  <r>
    <x v="135"/>
    <x v="41"/>
    <x v="32"/>
    <x v="32"/>
    <x v="4"/>
    <x v="2"/>
    <x v="4"/>
    <x v="33"/>
    <x v="24"/>
    <x v="24"/>
    <x v="65"/>
    <x v="28"/>
    <x v="44"/>
    <x v="19"/>
    <x v="122"/>
  </r>
  <r>
    <x v="136"/>
    <x v="42"/>
    <x v="22"/>
    <x v="22"/>
    <x v="3"/>
    <x v="1"/>
    <x v="3"/>
    <x v="21"/>
    <x v="24"/>
    <x v="24"/>
    <x v="86"/>
    <x v="4"/>
    <x v="31"/>
    <x v="5"/>
    <x v="100"/>
  </r>
  <r>
    <x v="137"/>
    <x v="42"/>
    <x v="22"/>
    <x v="22"/>
    <x v="3"/>
    <x v="1"/>
    <x v="4"/>
    <x v="21"/>
    <x v="24"/>
    <x v="24"/>
    <x v="87"/>
    <x v="4"/>
    <x v="32"/>
    <x v="11"/>
    <x v="101"/>
  </r>
  <r>
    <x v="138"/>
    <x v="42"/>
    <x v="22"/>
    <x v="22"/>
    <x v="3"/>
    <x v="1"/>
    <x v="5"/>
    <x v="22"/>
    <x v="24"/>
    <x v="24"/>
    <x v="88"/>
    <x v="20"/>
    <x v="29"/>
    <x v="12"/>
    <x v="102"/>
  </r>
  <r>
    <x v="139"/>
    <x v="42"/>
    <x v="32"/>
    <x v="32"/>
    <x v="4"/>
    <x v="2"/>
    <x v="4"/>
    <x v="33"/>
    <x v="24"/>
    <x v="24"/>
    <x v="65"/>
    <x v="28"/>
    <x v="44"/>
    <x v="19"/>
    <x v="122"/>
  </r>
  <r>
    <x v="140"/>
    <x v="43"/>
    <x v="21"/>
    <x v="21"/>
    <x v="3"/>
    <x v="1"/>
    <x v="3"/>
    <x v="19"/>
    <x v="24"/>
    <x v="24"/>
    <x v="90"/>
    <x v="18"/>
    <x v="26"/>
    <x v="6"/>
    <x v="123"/>
  </r>
  <r>
    <x v="141"/>
    <x v="43"/>
    <x v="21"/>
    <x v="21"/>
    <x v="3"/>
    <x v="1"/>
    <x v="4"/>
    <x v="19"/>
    <x v="24"/>
    <x v="24"/>
    <x v="94"/>
    <x v="18"/>
    <x v="35"/>
    <x v="7"/>
    <x v="124"/>
  </r>
  <r>
    <x v="142"/>
    <x v="43"/>
    <x v="21"/>
    <x v="21"/>
    <x v="3"/>
    <x v="1"/>
    <x v="5"/>
    <x v="20"/>
    <x v="24"/>
    <x v="24"/>
    <x v="98"/>
    <x v="19"/>
    <x v="34"/>
    <x v="8"/>
    <x v="125"/>
  </r>
  <r>
    <x v="143"/>
    <x v="43"/>
    <x v="33"/>
    <x v="33"/>
    <x v="4"/>
    <x v="2"/>
    <x v="4"/>
    <x v="34"/>
    <x v="24"/>
    <x v="24"/>
    <x v="99"/>
    <x v="29"/>
    <x v="3"/>
    <x v="19"/>
    <x v="46"/>
  </r>
  <r>
    <x v="144"/>
    <x v="44"/>
    <x v="21"/>
    <x v="21"/>
    <x v="3"/>
    <x v="1"/>
    <x v="3"/>
    <x v="19"/>
    <x v="24"/>
    <x v="24"/>
    <x v="90"/>
    <x v="18"/>
    <x v="26"/>
    <x v="6"/>
    <x v="123"/>
  </r>
  <r>
    <x v="145"/>
    <x v="44"/>
    <x v="21"/>
    <x v="21"/>
    <x v="3"/>
    <x v="1"/>
    <x v="4"/>
    <x v="19"/>
    <x v="24"/>
    <x v="24"/>
    <x v="94"/>
    <x v="18"/>
    <x v="35"/>
    <x v="7"/>
    <x v="124"/>
  </r>
  <r>
    <x v="146"/>
    <x v="44"/>
    <x v="21"/>
    <x v="21"/>
    <x v="3"/>
    <x v="1"/>
    <x v="5"/>
    <x v="20"/>
    <x v="24"/>
    <x v="24"/>
    <x v="98"/>
    <x v="19"/>
    <x v="34"/>
    <x v="8"/>
    <x v="125"/>
  </r>
  <r>
    <x v="147"/>
    <x v="44"/>
    <x v="33"/>
    <x v="33"/>
    <x v="4"/>
    <x v="2"/>
    <x v="4"/>
    <x v="34"/>
    <x v="24"/>
    <x v="24"/>
    <x v="99"/>
    <x v="29"/>
    <x v="3"/>
    <x v="19"/>
    <x v="46"/>
  </r>
  <r>
    <x v="148"/>
    <x v="45"/>
    <x v="20"/>
    <x v="20"/>
    <x v="2"/>
    <x v="1"/>
    <x v="3"/>
    <x v="8"/>
    <x v="24"/>
    <x v="24"/>
    <x v="100"/>
    <x v="8"/>
    <x v="37"/>
    <x v="6"/>
    <x v="126"/>
  </r>
  <r>
    <x v="149"/>
    <x v="45"/>
    <x v="20"/>
    <x v="20"/>
    <x v="2"/>
    <x v="1"/>
    <x v="4"/>
    <x v="8"/>
    <x v="24"/>
    <x v="24"/>
    <x v="101"/>
    <x v="8"/>
    <x v="38"/>
    <x v="7"/>
    <x v="127"/>
  </r>
  <r>
    <x v="150"/>
    <x v="45"/>
    <x v="20"/>
    <x v="20"/>
    <x v="2"/>
    <x v="1"/>
    <x v="5"/>
    <x v="18"/>
    <x v="24"/>
    <x v="24"/>
    <x v="102"/>
    <x v="17"/>
    <x v="39"/>
    <x v="8"/>
    <x v="128"/>
  </r>
  <r>
    <x v="151"/>
    <x v="45"/>
    <x v="33"/>
    <x v="33"/>
    <x v="4"/>
    <x v="2"/>
    <x v="4"/>
    <x v="34"/>
    <x v="24"/>
    <x v="24"/>
    <x v="99"/>
    <x v="29"/>
    <x v="3"/>
    <x v="19"/>
    <x v="46"/>
  </r>
  <r>
    <x v="152"/>
    <x v="46"/>
    <x v="19"/>
    <x v="19"/>
    <x v="2"/>
    <x v="1"/>
    <x v="3"/>
    <x v="16"/>
    <x v="24"/>
    <x v="24"/>
    <x v="87"/>
    <x v="16"/>
    <x v="32"/>
    <x v="6"/>
    <x v="129"/>
  </r>
  <r>
    <x v="153"/>
    <x v="46"/>
    <x v="19"/>
    <x v="19"/>
    <x v="2"/>
    <x v="1"/>
    <x v="4"/>
    <x v="16"/>
    <x v="24"/>
    <x v="24"/>
    <x v="90"/>
    <x v="16"/>
    <x v="26"/>
    <x v="7"/>
    <x v="130"/>
  </r>
  <r>
    <x v="154"/>
    <x v="46"/>
    <x v="19"/>
    <x v="19"/>
    <x v="2"/>
    <x v="1"/>
    <x v="5"/>
    <x v="17"/>
    <x v="24"/>
    <x v="24"/>
    <x v="91"/>
    <x v="5"/>
    <x v="28"/>
    <x v="8"/>
    <x v="131"/>
  </r>
  <r>
    <x v="155"/>
    <x v="46"/>
    <x v="33"/>
    <x v="33"/>
    <x v="4"/>
    <x v="2"/>
    <x v="4"/>
    <x v="34"/>
    <x v="24"/>
    <x v="24"/>
    <x v="99"/>
    <x v="29"/>
    <x v="3"/>
    <x v="19"/>
    <x v="46"/>
  </r>
  <r>
    <x v="156"/>
    <x v="47"/>
    <x v="34"/>
    <x v="34"/>
    <x v="2"/>
    <x v="1"/>
    <x v="3"/>
    <x v="3"/>
    <x v="24"/>
    <x v="24"/>
    <x v="74"/>
    <x v="3"/>
    <x v="45"/>
    <x v="16"/>
    <x v="132"/>
  </r>
  <r>
    <x v="157"/>
    <x v="47"/>
    <x v="34"/>
    <x v="34"/>
    <x v="2"/>
    <x v="1"/>
    <x v="4"/>
    <x v="3"/>
    <x v="24"/>
    <x v="24"/>
    <x v="103"/>
    <x v="3"/>
    <x v="46"/>
    <x v="17"/>
    <x v="133"/>
  </r>
  <r>
    <x v="158"/>
    <x v="47"/>
    <x v="34"/>
    <x v="34"/>
    <x v="2"/>
    <x v="1"/>
    <x v="5"/>
    <x v="35"/>
    <x v="24"/>
    <x v="24"/>
    <x v="104"/>
    <x v="30"/>
    <x v="47"/>
    <x v="18"/>
    <x v="134"/>
  </r>
  <r>
    <x v="159"/>
    <x v="47"/>
    <x v="33"/>
    <x v="33"/>
    <x v="4"/>
    <x v="2"/>
    <x v="4"/>
    <x v="34"/>
    <x v="24"/>
    <x v="24"/>
    <x v="99"/>
    <x v="29"/>
    <x v="3"/>
    <x v="19"/>
    <x v="46"/>
  </r>
  <r>
    <x v="160"/>
    <x v="48"/>
    <x v="35"/>
    <x v="35"/>
    <x v="2"/>
    <x v="1"/>
    <x v="3"/>
    <x v="36"/>
    <x v="24"/>
    <x v="25"/>
    <x v="97"/>
    <x v="22"/>
    <x v="43"/>
    <x v="9"/>
    <x v="135"/>
  </r>
  <r>
    <x v="161"/>
    <x v="48"/>
    <x v="35"/>
    <x v="35"/>
    <x v="2"/>
    <x v="1"/>
    <x v="4"/>
    <x v="36"/>
    <x v="24"/>
    <x v="25"/>
    <x v="89"/>
    <x v="22"/>
    <x v="36"/>
    <x v="6"/>
    <x v="136"/>
  </r>
  <r>
    <x v="162"/>
    <x v="48"/>
    <x v="35"/>
    <x v="35"/>
    <x v="2"/>
    <x v="1"/>
    <x v="5"/>
    <x v="37"/>
    <x v="24"/>
    <x v="25"/>
    <x v="96"/>
    <x v="31"/>
    <x v="42"/>
    <x v="10"/>
    <x v="137"/>
  </r>
  <r>
    <x v="163"/>
    <x v="48"/>
    <x v="30"/>
    <x v="30"/>
    <x v="2"/>
    <x v="1"/>
    <x v="3"/>
    <x v="29"/>
    <x v="24"/>
    <x v="25"/>
    <x v="97"/>
    <x v="27"/>
    <x v="43"/>
    <x v="9"/>
    <x v="138"/>
  </r>
  <r>
    <x v="164"/>
    <x v="48"/>
    <x v="30"/>
    <x v="30"/>
    <x v="2"/>
    <x v="1"/>
    <x v="4"/>
    <x v="29"/>
    <x v="24"/>
    <x v="25"/>
    <x v="89"/>
    <x v="27"/>
    <x v="36"/>
    <x v="6"/>
    <x v="139"/>
  </r>
  <r>
    <x v="165"/>
    <x v="48"/>
    <x v="30"/>
    <x v="30"/>
    <x v="2"/>
    <x v="1"/>
    <x v="5"/>
    <x v="30"/>
    <x v="24"/>
    <x v="25"/>
    <x v="96"/>
    <x v="7"/>
    <x v="42"/>
    <x v="10"/>
    <x v="140"/>
  </r>
  <r>
    <x v="166"/>
    <x v="48"/>
    <x v="33"/>
    <x v="33"/>
    <x v="4"/>
    <x v="2"/>
    <x v="4"/>
    <x v="34"/>
    <x v="24"/>
    <x v="24"/>
    <x v="99"/>
    <x v="29"/>
    <x v="3"/>
    <x v="19"/>
    <x v="46"/>
  </r>
  <r>
    <x v="167"/>
    <x v="49"/>
    <x v="36"/>
    <x v="36"/>
    <x v="2"/>
    <x v="1"/>
    <x v="3"/>
    <x v="38"/>
    <x v="24"/>
    <x v="24"/>
    <x v="105"/>
    <x v="32"/>
    <x v="48"/>
    <x v="5"/>
    <x v="141"/>
  </r>
  <r>
    <x v="168"/>
    <x v="49"/>
    <x v="36"/>
    <x v="36"/>
    <x v="2"/>
    <x v="1"/>
    <x v="4"/>
    <x v="38"/>
    <x v="24"/>
    <x v="24"/>
    <x v="86"/>
    <x v="32"/>
    <x v="31"/>
    <x v="11"/>
    <x v="142"/>
  </r>
  <r>
    <x v="169"/>
    <x v="49"/>
    <x v="36"/>
    <x v="36"/>
    <x v="2"/>
    <x v="1"/>
    <x v="5"/>
    <x v="39"/>
    <x v="24"/>
    <x v="24"/>
    <x v="106"/>
    <x v="33"/>
    <x v="49"/>
    <x v="20"/>
    <x v="143"/>
  </r>
  <r>
    <x v="170"/>
    <x v="49"/>
    <x v="33"/>
    <x v="33"/>
    <x v="4"/>
    <x v="2"/>
    <x v="4"/>
    <x v="34"/>
    <x v="24"/>
    <x v="24"/>
    <x v="99"/>
    <x v="29"/>
    <x v="3"/>
    <x v="19"/>
    <x v="46"/>
  </r>
  <r>
    <x v="171"/>
    <x v="50"/>
    <x v="37"/>
    <x v="37"/>
    <x v="2"/>
    <x v="1"/>
    <x v="3"/>
    <x v="40"/>
    <x v="24"/>
    <x v="25"/>
    <x v="65"/>
    <x v="12"/>
    <x v="44"/>
    <x v="21"/>
    <x v="144"/>
  </r>
  <r>
    <x v="172"/>
    <x v="50"/>
    <x v="37"/>
    <x v="37"/>
    <x v="2"/>
    <x v="1"/>
    <x v="4"/>
    <x v="40"/>
    <x v="24"/>
    <x v="25"/>
    <x v="74"/>
    <x v="12"/>
    <x v="45"/>
    <x v="22"/>
    <x v="145"/>
  </r>
  <r>
    <x v="173"/>
    <x v="50"/>
    <x v="37"/>
    <x v="37"/>
    <x v="2"/>
    <x v="1"/>
    <x v="5"/>
    <x v="41"/>
    <x v="24"/>
    <x v="25"/>
    <x v="107"/>
    <x v="34"/>
    <x v="50"/>
    <x v="23"/>
    <x v="146"/>
  </r>
  <r>
    <x v="174"/>
    <x v="50"/>
    <x v="38"/>
    <x v="38"/>
    <x v="2"/>
    <x v="1"/>
    <x v="3"/>
    <x v="42"/>
    <x v="24"/>
    <x v="25"/>
    <x v="89"/>
    <x v="12"/>
    <x v="36"/>
    <x v="6"/>
    <x v="147"/>
  </r>
  <r>
    <x v="175"/>
    <x v="50"/>
    <x v="38"/>
    <x v="38"/>
    <x v="2"/>
    <x v="1"/>
    <x v="4"/>
    <x v="42"/>
    <x v="24"/>
    <x v="25"/>
    <x v="108"/>
    <x v="12"/>
    <x v="51"/>
    <x v="24"/>
    <x v="111"/>
  </r>
  <r>
    <x v="176"/>
    <x v="50"/>
    <x v="38"/>
    <x v="38"/>
    <x v="2"/>
    <x v="1"/>
    <x v="5"/>
    <x v="43"/>
    <x v="24"/>
    <x v="25"/>
    <x v="109"/>
    <x v="34"/>
    <x v="52"/>
    <x v="25"/>
    <x v="148"/>
  </r>
  <r>
    <x v="177"/>
    <x v="50"/>
    <x v="26"/>
    <x v="26"/>
    <x v="2"/>
    <x v="2"/>
    <x v="3"/>
    <x v="24"/>
    <x v="24"/>
    <x v="25"/>
    <x v="87"/>
    <x v="22"/>
    <x v="32"/>
    <x v="9"/>
    <x v="149"/>
  </r>
  <r>
    <x v="178"/>
    <x v="50"/>
    <x v="26"/>
    <x v="26"/>
    <x v="2"/>
    <x v="2"/>
    <x v="4"/>
    <x v="24"/>
    <x v="24"/>
    <x v="25"/>
    <x v="90"/>
    <x v="22"/>
    <x v="26"/>
    <x v="6"/>
    <x v="150"/>
  </r>
  <r>
    <x v="179"/>
    <x v="50"/>
    <x v="26"/>
    <x v="26"/>
    <x v="2"/>
    <x v="2"/>
    <x v="5"/>
    <x v="25"/>
    <x v="24"/>
    <x v="25"/>
    <x v="91"/>
    <x v="23"/>
    <x v="28"/>
    <x v="10"/>
    <x v="151"/>
  </r>
  <r>
    <x v="180"/>
    <x v="50"/>
    <x v="19"/>
    <x v="19"/>
    <x v="2"/>
    <x v="2"/>
    <x v="3"/>
    <x v="16"/>
    <x v="24"/>
    <x v="25"/>
    <x v="87"/>
    <x v="16"/>
    <x v="32"/>
    <x v="6"/>
    <x v="152"/>
  </r>
  <r>
    <x v="181"/>
    <x v="50"/>
    <x v="19"/>
    <x v="19"/>
    <x v="2"/>
    <x v="2"/>
    <x v="4"/>
    <x v="16"/>
    <x v="24"/>
    <x v="25"/>
    <x v="90"/>
    <x v="16"/>
    <x v="26"/>
    <x v="7"/>
    <x v="153"/>
  </r>
  <r>
    <x v="182"/>
    <x v="50"/>
    <x v="19"/>
    <x v="19"/>
    <x v="2"/>
    <x v="2"/>
    <x v="5"/>
    <x v="17"/>
    <x v="24"/>
    <x v="25"/>
    <x v="91"/>
    <x v="5"/>
    <x v="28"/>
    <x v="8"/>
    <x v="154"/>
  </r>
  <r>
    <x v="183"/>
    <x v="51"/>
    <x v="27"/>
    <x v="27"/>
    <x v="2"/>
    <x v="1"/>
    <x v="3"/>
    <x v="8"/>
    <x v="24"/>
    <x v="25"/>
    <x v="92"/>
    <x v="8"/>
    <x v="40"/>
    <x v="7"/>
    <x v="155"/>
  </r>
  <r>
    <x v="184"/>
    <x v="51"/>
    <x v="27"/>
    <x v="27"/>
    <x v="2"/>
    <x v="1"/>
    <x v="4"/>
    <x v="8"/>
    <x v="24"/>
    <x v="25"/>
    <x v="93"/>
    <x v="8"/>
    <x v="33"/>
    <x v="14"/>
    <x v="156"/>
  </r>
  <r>
    <x v="185"/>
    <x v="51"/>
    <x v="27"/>
    <x v="27"/>
    <x v="2"/>
    <x v="1"/>
    <x v="5"/>
    <x v="18"/>
    <x v="24"/>
    <x v="25"/>
    <x v="94"/>
    <x v="17"/>
    <x v="35"/>
    <x v="15"/>
    <x v="157"/>
  </r>
  <r>
    <x v="186"/>
    <x v="51"/>
    <x v="28"/>
    <x v="28"/>
    <x v="2"/>
    <x v="1"/>
    <x v="3"/>
    <x v="26"/>
    <x v="24"/>
    <x v="25"/>
    <x v="95"/>
    <x v="24"/>
    <x v="41"/>
    <x v="16"/>
    <x v="158"/>
  </r>
  <r>
    <x v="187"/>
    <x v="51"/>
    <x v="28"/>
    <x v="28"/>
    <x v="2"/>
    <x v="1"/>
    <x v="4"/>
    <x v="26"/>
    <x v="24"/>
    <x v="25"/>
    <x v="96"/>
    <x v="24"/>
    <x v="42"/>
    <x v="17"/>
    <x v="159"/>
  </r>
  <r>
    <x v="188"/>
    <x v="51"/>
    <x v="28"/>
    <x v="28"/>
    <x v="2"/>
    <x v="1"/>
    <x v="5"/>
    <x v="27"/>
    <x v="24"/>
    <x v="25"/>
    <x v="97"/>
    <x v="25"/>
    <x v="43"/>
    <x v="18"/>
    <x v="160"/>
  </r>
  <r>
    <x v="189"/>
    <x v="51"/>
    <x v="20"/>
    <x v="20"/>
    <x v="2"/>
    <x v="2"/>
    <x v="3"/>
    <x v="8"/>
    <x v="24"/>
    <x v="25"/>
    <x v="100"/>
    <x v="8"/>
    <x v="37"/>
    <x v="6"/>
    <x v="161"/>
  </r>
  <r>
    <x v="190"/>
    <x v="51"/>
    <x v="20"/>
    <x v="20"/>
    <x v="2"/>
    <x v="2"/>
    <x v="4"/>
    <x v="8"/>
    <x v="24"/>
    <x v="25"/>
    <x v="101"/>
    <x v="8"/>
    <x v="38"/>
    <x v="7"/>
    <x v="162"/>
  </r>
  <r>
    <x v="191"/>
    <x v="51"/>
    <x v="20"/>
    <x v="20"/>
    <x v="2"/>
    <x v="2"/>
    <x v="5"/>
    <x v="18"/>
    <x v="24"/>
    <x v="25"/>
    <x v="102"/>
    <x v="17"/>
    <x v="39"/>
    <x v="8"/>
    <x v="163"/>
  </r>
  <r>
    <x v="192"/>
    <x v="51"/>
    <x v="34"/>
    <x v="34"/>
    <x v="2"/>
    <x v="2"/>
    <x v="3"/>
    <x v="3"/>
    <x v="24"/>
    <x v="25"/>
    <x v="74"/>
    <x v="3"/>
    <x v="45"/>
    <x v="16"/>
    <x v="164"/>
  </r>
  <r>
    <x v="193"/>
    <x v="51"/>
    <x v="34"/>
    <x v="34"/>
    <x v="2"/>
    <x v="2"/>
    <x v="4"/>
    <x v="3"/>
    <x v="24"/>
    <x v="25"/>
    <x v="103"/>
    <x v="3"/>
    <x v="46"/>
    <x v="17"/>
    <x v="165"/>
  </r>
  <r>
    <x v="194"/>
    <x v="51"/>
    <x v="34"/>
    <x v="34"/>
    <x v="2"/>
    <x v="2"/>
    <x v="5"/>
    <x v="35"/>
    <x v="24"/>
    <x v="25"/>
    <x v="104"/>
    <x v="30"/>
    <x v="47"/>
    <x v="18"/>
    <x v="166"/>
  </r>
  <r>
    <x v="195"/>
    <x v="52"/>
    <x v="21"/>
    <x v="21"/>
    <x v="3"/>
    <x v="1"/>
    <x v="3"/>
    <x v="19"/>
    <x v="24"/>
    <x v="24"/>
    <x v="90"/>
    <x v="18"/>
    <x v="26"/>
    <x v="6"/>
    <x v="123"/>
  </r>
  <r>
    <x v="196"/>
    <x v="52"/>
    <x v="21"/>
    <x v="21"/>
    <x v="3"/>
    <x v="1"/>
    <x v="4"/>
    <x v="19"/>
    <x v="24"/>
    <x v="24"/>
    <x v="94"/>
    <x v="18"/>
    <x v="35"/>
    <x v="7"/>
    <x v="124"/>
  </r>
  <r>
    <x v="197"/>
    <x v="52"/>
    <x v="21"/>
    <x v="21"/>
    <x v="3"/>
    <x v="1"/>
    <x v="5"/>
    <x v="20"/>
    <x v="24"/>
    <x v="24"/>
    <x v="98"/>
    <x v="19"/>
    <x v="34"/>
    <x v="8"/>
    <x v="125"/>
  </r>
  <r>
    <x v="198"/>
    <x v="52"/>
    <x v="17"/>
    <x v="17"/>
    <x v="2"/>
    <x v="2"/>
    <x v="3"/>
    <x v="14"/>
    <x v="24"/>
    <x v="25"/>
    <x v="98"/>
    <x v="14"/>
    <x v="34"/>
    <x v="9"/>
    <x v="167"/>
  </r>
  <r>
    <x v="199"/>
    <x v="52"/>
    <x v="17"/>
    <x v="17"/>
    <x v="2"/>
    <x v="2"/>
    <x v="4"/>
    <x v="14"/>
    <x v="24"/>
    <x v="25"/>
    <x v="93"/>
    <x v="14"/>
    <x v="33"/>
    <x v="6"/>
    <x v="123"/>
  </r>
  <r>
    <x v="200"/>
    <x v="52"/>
    <x v="17"/>
    <x v="17"/>
    <x v="2"/>
    <x v="2"/>
    <x v="5"/>
    <x v="15"/>
    <x v="24"/>
    <x v="25"/>
    <x v="94"/>
    <x v="15"/>
    <x v="35"/>
    <x v="10"/>
    <x v="168"/>
  </r>
  <r>
    <x v="201"/>
    <x v="52"/>
    <x v="35"/>
    <x v="39"/>
    <x v="2"/>
    <x v="2"/>
    <x v="3"/>
    <x v="36"/>
    <x v="24"/>
    <x v="25"/>
    <x v="97"/>
    <x v="22"/>
    <x v="43"/>
    <x v="9"/>
    <x v="135"/>
  </r>
  <r>
    <x v="202"/>
    <x v="52"/>
    <x v="35"/>
    <x v="39"/>
    <x v="2"/>
    <x v="2"/>
    <x v="4"/>
    <x v="36"/>
    <x v="24"/>
    <x v="25"/>
    <x v="89"/>
    <x v="22"/>
    <x v="36"/>
    <x v="6"/>
    <x v="136"/>
  </r>
  <r>
    <x v="203"/>
    <x v="52"/>
    <x v="35"/>
    <x v="39"/>
    <x v="2"/>
    <x v="2"/>
    <x v="5"/>
    <x v="37"/>
    <x v="24"/>
    <x v="25"/>
    <x v="96"/>
    <x v="31"/>
    <x v="42"/>
    <x v="10"/>
    <x v="137"/>
  </r>
  <r>
    <x v="204"/>
    <x v="53"/>
    <x v="31"/>
    <x v="31"/>
    <x v="3"/>
    <x v="1"/>
    <x v="3"/>
    <x v="31"/>
    <x v="24"/>
    <x v="24"/>
    <x v="90"/>
    <x v="24"/>
    <x v="26"/>
    <x v="6"/>
    <x v="120"/>
  </r>
  <r>
    <x v="205"/>
    <x v="53"/>
    <x v="31"/>
    <x v="31"/>
    <x v="3"/>
    <x v="1"/>
    <x v="4"/>
    <x v="31"/>
    <x v="24"/>
    <x v="24"/>
    <x v="94"/>
    <x v="24"/>
    <x v="35"/>
    <x v="7"/>
    <x v="115"/>
  </r>
  <r>
    <x v="206"/>
    <x v="53"/>
    <x v="31"/>
    <x v="31"/>
    <x v="3"/>
    <x v="1"/>
    <x v="5"/>
    <x v="32"/>
    <x v="24"/>
    <x v="24"/>
    <x v="98"/>
    <x v="25"/>
    <x v="34"/>
    <x v="8"/>
    <x v="121"/>
  </r>
  <r>
    <x v="207"/>
    <x v="53"/>
    <x v="39"/>
    <x v="40"/>
    <x v="2"/>
    <x v="2"/>
    <x v="3"/>
    <x v="44"/>
    <x v="24"/>
    <x v="25"/>
    <x v="110"/>
    <x v="35"/>
    <x v="53"/>
    <x v="26"/>
    <x v="169"/>
  </r>
  <r>
    <x v="208"/>
    <x v="53"/>
    <x v="39"/>
    <x v="40"/>
    <x v="2"/>
    <x v="2"/>
    <x v="4"/>
    <x v="44"/>
    <x v="24"/>
    <x v="25"/>
    <x v="111"/>
    <x v="35"/>
    <x v="54"/>
    <x v="27"/>
    <x v="170"/>
  </r>
  <r>
    <x v="209"/>
    <x v="53"/>
    <x v="39"/>
    <x v="40"/>
    <x v="2"/>
    <x v="2"/>
    <x v="5"/>
    <x v="45"/>
    <x v="24"/>
    <x v="25"/>
    <x v="108"/>
    <x v="36"/>
    <x v="51"/>
    <x v="11"/>
    <x v="171"/>
  </r>
  <r>
    <x v="210"/>
    <x v="53"/>
    <x v="40"/>
    <x v="41"/>
    <x v="2"/>
    <x v="2"/>
    <x v="3"/>
    <x v="46"/>
    <x v="24"/>
    <x v="25"/>
    <x v="91"/>
    <x v="14"/>
    <x v="28"/>
    <x v="28"/>
    <x v="172"/>
  </r>
  <r>
    <x v="211"/>
    <x v="53"/>
    <x v="40"/>
    <x v="41"/>
    <x v="2"/>
    <x v="2"/>
    <x v="4"/>
    <x v="46"/>
    <x v="24"/>
    <x v="25"/>
    <x v="92"/>
    <x v="14"/>
    <x v="40"/>
    <x v="29"/>
    <x v="173"/>
  </r>
  <r>
    <x v="212"/>
    <x v="53"/>
    <x v="40"/>
    <x v="41"/>
    <x v="2"/>
    <x v="2"/>
    <x v="5"/>
    <x v="47"/>
    <x v="24"/>
    <x v="25"/>
    <x v="90"/>
    <x v="15"/>
    <x v="26"/>
    <x v="14"/>
    <x v="174"/>
  </r>
  <r>
    <x v="213"/>
    <x v="54"/>
    <x v="41"/>
    <x v="42"/>
    <x v="5"/>
    <x v="3"/>
    <x v="6"/>
    <x v="48"/>
    <x v="25"/>
    <x v="26"/>
    <x v="112"/>
    <x v="37"/>
    <x v="55"/>
    <x v="30"/>
    <x v="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9" firstHeaderRow="0" firstDataRow="1" firstDataCol="1"/>
  <pivotFields count="15">
    <pivotField compact="0" showAll="0">
      <items count="2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7">
        <item x="0"/>
        <item x="1"/>
        <item x="4"/>
        <item x="2"/>
        <item x="3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2">
        <item x="3"/>
        <item x="4"/>
        <item x="2"/>
        <item x="0"/>
        <item x="1"/>
        <item x="13"/>
        <item x="26"/>
        <item x="5"/>
        <item x="27"/>
        <item x="11"/>
        <item x="20"/>
        <item x="12"/>
        <item x="9"/>
        <item x="6"/>
        <item x="10"/>
        <item x="28"/>
        <item x="7"/>
        <item x="24"/>
        <item x="8"/>
        <item x="29"/>
        <item x="25"/>
        <item x="16"/>
        <item x="14"/>
        <item x="15"/>
        <item x="17"/>
        <item x="18"/>
        <item x="21"/>
        <item x="22"/>
        <item x="23"/>
        <item x="19"/>
        <item x="30"/>
        <item t="default"/>
      </items>
    </pivotField>
    <pivotField dataField="1" compact="0" showAll="0">
      <items count="177">
        <item x="141"/>
        <item x="104"/>
        <item x="149"/>
        <item x="100"/>
        <item x="129"/>
        <item x="142"/>
        <item x="105"/>
        <item x="152"/>
        <item x="143"/>
        <item x="172"/>
        <item x="150"/>
        <item x="101"/>
        <item x="107"/>
        <item x="106"/>
        <item x="130"/>
        <item x="102"/>
        <item x="114"/>
        <item x="155"/>
        <item x="151"/>
        <item x="120"/>
        <item x="153"/>
        <item x="167"/>
        <item x="131"/>
        <item x="173"/>
        <item x="117"/>
        <item x="154"/>
        <item x="108"/>
        <item x="174"/>
        <item x="66"/>
        <item x="138"/>
        <item x="109"/>
        <item x="156"/>
        <item x="135"/>
        <item x="65"/>
        <item x="115"/>
        <item x="110"/>
        <item x="147"/>
        <item x="169"/>
        <item x="123"/>
        <item x="157"/>
        <item x="121"/>
        <item x="64"/>
        <item x="158"/>
        <item x="116"/>
        <item x="118"/>
        <item x="168"/>
        <item x="139"/>
        <item x="119"/>
        <item x="136"/>
        <item x="111"/>
        <item x="170"/>
        <item x="140"/>
        <item x="124"/>
        <item x="137"/>
        <item x="159"/>
        <item x="148"/>
        <item x="125"/>
        <item x="112"/>
        <item x="171"/>
        <item x="160"/>
        <item x="126"/>
        <item x="161"/>
        <item x="127"/>
        <item x="162"/>
        <item x="144"/>
        <item x="57"/>
        <item x="128"/>
        <item x="163"/>
        <item x="56"/>
        <item x="55"/>
        <item x="145"/>
        <item x="146"/>
        <item x="63"/>
        <item x="62"/>
        <item x="113"/>
        <item x="61"/>
        <item x="48"/>
        <item x="132"/>
        <item x="164"/>
        <item x="47"/>
        <item x="29"/>
        <item x="75"/>
        <item x="46"/>
        <item x="32"/>
        <item x="60"/>
        <item x="28"/>
        <item x="11"/>
        <item x="74"/>
        <item x="72"/>
        <item x="99"/>
        <item x="59"/>
        <item x="31"/>
        <item x="27"/>
        <item x="73"/>
        <item x="54"/>
        <item x="71"/>
        <item x="10"/>
        <item x="58"/>
        <item x="133"/>
        <item x="30"/>
        <item x="165"/>
        <item x="98"/>
        <item x="53"/>
        <item x="70"/>
        <item x="9"/>
        <item x="134"/>
        <item x="52"/>
        <item x="166"/>
        <item x="8"/>
        <item x="45"/>
        <item x="69"/>
        <item x="7"/>
        <item x="76"/>
        <item x="44"/>
        <item x="68"/>
        <item x="6"/>
        <item x="43"/>
        <item x="122"/>
        <item x="39"/>
        <item x="67"/>
        <item x="93"/>
        <item x="38"/>
        <item x="51"/>
        <item x="37"/>
        <item x="26"/>
        <item x="82"/>
        <item x="50"/>
        <item x="77"/>
        <item x="97"/>
        <item x="25"/>
        <item x="49"/>
        <item x="17"/>
        <item x="24"/>
        <item x="5"/>
        <item x="16"/>
        <item x="36"/>
        <item x="20"/>
        <item x="14"/>
        <item x="15"/>
        <item x="4"/>
        <item x="19"/>
        <item x="13"/>
        <item x="23"/>
        <item x="3"/>
        <item x="18"/>
        <item x="78"/>
        <item x="12"/>
        <item x="22"/>
        <item x="86"/>
        <item x="94"/>
        <item x="42"/>
        <item x="21"/>
        <item x="41"/>
        <item x="2"/>
        <item x="79"/>
        <item x="40"/>
        <item x="103"/>
        <item x="1"/>
        <item x="35"/>
        <item x="95"/>
        <item x="83"/>
        <item x="0"/>
        <item x="34"/>
        <item x="96"/>
        <item x="87"/>
        <item x="33"/>
        <item x="80"/>
        <item x="90"/>
        <item x="81"/>
        <item x="84"/>
        <item x="85"/>
        <item x="88"/>
        <item x="91"/>
        <item x="89"/>
        <item x="92"/>
        <item x="17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收益" fld="14" baseField="0" baseItem="0"/>
    <dataField name="种植成本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C9"/>
  <sheetViews>
    <sheetView tabSelected="1" workbookViewId="0">
      <selection activeCell="E4" sqref="E4"/>
    </sheetView>
  </sheetViews>
  <sheetFormatPr defaultColWidth="8.88888888888889" defaultRowHeight="14.4" outlineLevelCol="2"/>
  <cols>
    <col min="1" max="1" width="14.1111111111111"/>
    <col min="2" max="3" width="12.8888888888889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5334600</v>
      </c>
      <c r="C4">
        <v>29080</v>
      </c>
    </row>
    <row r="5" spans="1:3">
      <c r="A5" t="s">
        <v>4</v>
      </c>
      <c r="B5">
        <v>2047518.75</v>
      </c>
      <c r="C5">
        <v>10050</v>
      </c>
    </row>
    <row r="6" spans="1:3">
      <c r="A6" t="s">
        <v>5</v>
      </c>
      <c r="B6">
        <v>1293300</v>
      </c>
      <c r="C6">
        <v>115000</v>
      </c>
    </row>
    <row r="7" spans="1:3">
      <c r="A7" t="s">
        <v>6</v>
      </c>
      <c r="B7">
        <v>4183107</v>
      </c>
      <c r="C7">
        <v>203930</v>
      </c>
    </row>
    <row r="8" spans="1:3">
      <c r="A8" t="s">
        <v>7</v>
      </c>
      <c r="B8">
        <v>1592740</v>
      </c>
      <c r="C8">
        <v>59840</v>
      </c>
    </row>
    <row r="9" spans="1:3">
      <c r="A9" t="s">
        <v>8</v>
      </c>
      <c r="B9">
        <v>14451265.75</v>
      </c>
      <c r="C9">
        <v>417900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14"/>
  <sheetViews>
    <sheetView zoomScaleSheetLayoutView="60" workbookViewId="0">
      <selection activeCell="B3" sqref="B3"/>
    </sheetView>
  </sheetViews>
  <sheetFormatPr defaultColWidth="10" defaultRowHeight="14.4"/>
  <cols>
    <col min="1" max="2" width="10" style="1"/>
    <col min="3" max="3" width="10" style="2"/>
    <col min="4" max="4" width="11.8888888888889" style="1" customWidth="1"/>
    <col min="5" max="5" width="14.1111111111111" style="1" customWidth="1"/>
    <col min="6" max="6" width="11.8888888888889" style="1" customWidth="1"/>
    <col min="7" max="7" width="10" style="1"/>
    <col min="8" max="8" width="18.6666666666667" style="3" customWidth="1"/>
    <col min="9" max="10" width="13" style="3" customWidth="1"/>
    <col min="12" max="12" width="23.1111111111111" style="3" customWidth="1"/>
    <col min="13" max="13" width="10.7777777777778" style="3" customWidth="1"/>
    <col min="14" max="14" width="18.6666666666667" style="3" customWidth="1"/>
  </cols>
  <sheetData>
    <row r="1" spans="1:15">
      <c r="A1" s="1" t="s">
        <v>9</v>
      </c>
      <c r="B1" s="1" t="s">
        <v>10</v>
      </c>
      <c r="C1" s="2" t="s">
        <v>11</v>
      </c>
      <c r="D1" s="1" t="s">
        <v>12</v>
      </c>
      <c r="E1" s="1" t="s">
        <v>0</v>
      </c>
      <c r="F1" s="1" t="s">
        <v>13</v>
      </c>
      <c r="G1" s="1" t="s">
        <v>14</v>
      </c>
      <c r="H1" s="3" t="s">
        <v>15</v>
      </c>
      <c r="I1" s="3" t="s">
        <v>16</v>
      </c>
      <c r="J1" s="3" t="s">
        <v>17</v>
      </c>
      <c r="K1" t="s">
        <v>18</v>
      </c>
      <c r="L1" s="3" t="s">
        <v>19</v>
      </c>
      <c r="M1" s="3" t="s">
        <v>20</v>
      </c>
      <c r="N1" s="3" t="s">
        <v>21</v>
      </c>
      <c r="O1" t="s">
        <v>22</v>
      </c>
    </row>
    <row r="2" spans="1:15">
      <c r="A2" s="1">
        <v>0</v>
      </c>
      <c r="B2" s="1" t="s">
        <v>23</v>
      </c>
      <c r="C2" s="2">
        <v>6</v>
      </c>
      <c r="D2" s="1" t="s">
        <v>24</v>
      </c>
      <c r="E2" s="1" t="s">
        <v>3</v>
      </c>
      <c r="F2" s="1" t="s">
        <v>25</v>
      </c>
      <c r="G2" s="1" t="s">
        <v>26</v>
      </c>
      <c r="H2" s="3" t="s">
        <v>27</v>
      </c>
      <c r="I2" s="3">
        <v>80</v>
      </c>
      <c r="J2" s="3">
        <v>80</v>
      </c>
      <c r="K2">
        <f>M2*I2</f>
        <v>64000</v>
      </c>
      <c r="L2" s="3">
        <v>3.5</v>
      </c>
      <c r="M2" s="3">
        <v>800</v>
      </c>
      <c r="N2" s="3">
        <v>450</v>
      </c>
      <c r="O2">
        <f>K2*L2-J2*N2</f>
        <v>188000</v>
      </c>
    </row>
    <row r="3" spans="1:15">
      <c r="A3" s="1">
        <v>1</v>
      </c>
      <c r="B3" s="1" t="s">
        <v>23</v>
      </c>
      <c r="C3" s="2">
        <v>6</v>
      </c>
      <c r="D3" s="1" t="s">
        <v>24</v>
      </c>
      <c r="E3" s="1" t="s">
        <v>3</v>
      </c>
      <c r="F3" s="1" t="s">
        <v>25</v>
      </c>
      <c r="G3" s="1" t="s">
        <v>28</v>
      </c>
      <c r="H3" s="3" t="s">
        <v>27</v>
      </c>
      <c r="I3" s="3">
        <v>80</v>
      </c>
      <c r="J3" s="3">
        <v>80</v>
      </c>
      <c r="K3">
        <f t="shared" ref="K3:K66" si="0">M3*I3</f>
        <v>60800</v>
      </c>
      <c r="L3" s="3">
        <v>3.5</v>
      </c>
      <c r="M3" s="3">
        <v>760</v>
      </c>
      <c r="N3" s="3">
        <v>450</v>
      </c>
      <c r="O3">
        <f t="shared" ref="O3:O66" si="1">K3*L3-J3*N3</f>
        <v>176800</v>
      </c>
    </row>
    <row r="4" spans="1:15">
      <c r="A4" s="1">
        <v>2</v>
      </c>
      <c r="B4" s="1" t="s">
        <v>23</v>
      </c>
      <c r="C4" s="2">
        <v>6</v>
      </c>
      <c r="D4" s="1" t="s">
        <v>24</v>
      </c>
      <c r="E4" s="1" t="s">
        <v>3</v>
      </c>
      <c r="F4" s="1" t="s">
        <v>25</v>
      </c>
      <c r="G4" s="1" t="s">
        <v>29</v>
      </c>
      <c r="H4" s="3" t="s">
        <v>27</v>
      </c>
      <c r="I4" s="3">
        <v>80</v>
      </c>
      <c r="J4" s="3">
        <v>80</v>
      </c>
      <c r="K4">
        <f t="shared" si="0"/>
        <v>57600</v>
      </c>
      <c r="L4" s="3">
        <v>3.5</v>
      </c>
      <c r="M4" s="3">
        <v>720</v>
      </c>
      <c r="N4" s="3">
        <v>450</v>
      </c>
      <c r="O4">
        <f t="shared" si="1"/>
        <v>165600</v>
      </c>
    </row>
    <row r="5" spans="1:15">
      <c r="A5" s="1">
        <v>3</v>
      </c>
      <c r="B5" s="1" t="s">
        <v>30</v>
      </c>
      <c r="C5" s="2">
        <v>7</v>
      </c>
      <c r="D5" s="1" t="s">
        <v>31</v>
      </c>
      <c r="E5" s="1" t="s">
        <v>3</v>
      </c>
      <c r="F5" s="1" t="s">
        <v>25</v>
      </c>
      <c r="G5" s="1" t="s">
        <v>26</v>
      </c>
      <c r="H5" s="3" t="s">
        <v>32</v>
      </c>
      <c r="I5" s="3">
        <v>55</v>
      </c>
      <c r="J5" s="3">
        <v>55</v>
      </c>
      <c r="K5">
        <f t="shared" si="0"/>
        <v>55000</v>
      </c>
      <c r="L5" s="3">
        <v>3</v>
      </c>
      <c r="M5" s="3">
        <v>1000</v>
      </c>
      <c r="N5" s="3">
        <v>500</v>
      </c>
      <c r="O5">
        <f t="shared" si="1"/>
        <v>137500</v>
      </c>
    </row>
    <row r="6" spans="1:15">
      <c r="A6" s="1">
        <v>4</v>
      </c>
      <c r="B6" s="1" t="s">
        <v>30</v>
      </c>
      <c r="C6" s="2">
        <v>7</v>
      </c>
      <c r="D6" s="1" t="s">
        <v>31</v>
      </c>
      <c r="E6" s="1" t="s">
        <v>3</v>
      </c>
      <c r="F6" s="1" t="s">
        <v>25</v>
      </c>
      <c r="G6" s="1" t="s">
        <v>28</v>
      </c>
      <c r="H6" s="3" t="s">
        <v>32</v>
      </c>
      <c r="I6" s="3">
        <v>55</v>
      </c>
      <c r="J6" s="3">
        <v>55</v>
      </c>
      <c r="K6">
        <f t="shared" si="0"/>
        <v>52250</v>
      </c>
      <c r="L6" s="3">
        <v>3</v>
      </c>
      <c r="M6" s="3">
        <v>950</v>
      </c>
      <c r="N6" s="3">
        <v>500</v>
      </c>
      <c r="O6">
        <f t="shared" si="1"/>
        <v>129250</v>
      </c>
    </row>
    <row r="7" spans="1:15">
      <c r="A7" s="1">
        <v>5</v>
      </c>
      <c r="B7" s="1" t="s">
        <v>30</v>
      </c>
      <c r="C7" s="2">
        <v>7</v>
      </c>
      <c r="D7" s="1" t="s">
        <v>31</v>
      </c>
      <c r="E7" s="1" t="s">
        <v>3</v>
      </c>
      <c r="F7" s="1" t="s">
        <v>25</v>
      </c>
      <c r="G7" s="1" t="s">
        <v>29</v>
      </c>
      <c r="H7" s="3" t="s">
        <v>32</v>
      </c>
      <c r="I7" s="3">
        <v>55</v>
      </c>
      <c r="J7" s="3">
        <v>55</v>
      </c>
      <c r="K7">
        <f t="shared" si="0"/>
        <v>49500</v>
      </c>
      <c r="L7" s="3">
        <v>3</v>
      </c>
      <c r="M7" s="3">
        <v>900</v>
      </c>
      <c r="N7" s="3">
        <v>500</v>
      </c>
      <c r="O7">
        <f t="shared" si="1"/>
        <v>121000</v>
      </c>
    </row>
    <row r="8" spans="1:15">
      <c r="A8" s="1">
        <v>6</v>
      </c>
      <c r="B8" s="1" t="s">
        <v>33</v>
      </c>
      <c r="C8" s="2">
        <v>7</v>
      </c>
      <c r="D8" s="1" t="s">
        <v>31</v>
      </c>
      <c r="E8" s="1" t="s">
        <v>3</v>
      </c>
      <c r="F8" s="1" t="s">
        <v>25</v>
      </c>
      <c r="G8" s="1" t="s">
        <v>26</v>
      </c>
      <c r="H8" s="3" t="s">
        <v>32</v>
      </c>
      <c r="I8" s="3">
        <v>35</v>
      </c>
      <c r="J8" s="3">
        <v>35</v>
      </c>
      <c r="K8">
        <f t="shared" si="0"/>
        <v>35000</v>
      </c>
      <c r="L8" s="3">
        <v>3</v>
      </c>
      <c r="M8" s="3">
        <v>1000</v>
      </c>
      <c r="N8" s="3">
        <v>500</v>
      </c>
      <c r="O8">
        <f t="shared" si="1"/>
        <v>87500</v>
      </c>
    </row>
    <row r="9" spans="1:15">
      <c r="A9" s="1">
        <v>7</v>
      </c>
      <c r="B9" s="1" t="s">
        <v>33</v>
      </c>
      <c r="C9" s="2">
        <v>7</v>
      </c>
      <c r="D9" s="1" t="s">
        <v>31</v>
      </c>
      <c r="E9" s="1" t="s">
        <v>3</v>
      </c>
      <c r="F9" s="1" t="s">
        <v>25</v>
      </c>
      <c r="G9" s="1" t="s">
        <v>28</v>
      </c>
      <c r="H9" s="3" t="s">
        <v>32</v>
      </c>
      <c r="I9" s="3">
        <v>35</v>
      </c>
      <c r="J9" s="3">
        <v>35</v>
      </c>
      <c r="K9">
        <f t="shared" si="0"/>
        <v>33250</v>
      </c>
      <c r="L9" s="3">
        <v>3</v>
      </c>
      <c r="M9" s="3">
        <v>950</v>
      </c>
      <c r="N9" s="3">
        <v>500</v>
      </c>
      <c r="O9">
        <f t="shared" si="1"/>
        <v>82250</v>
      </c>
    </row>
    <row r="10" spans="1:15">
      <c r="A10" s="1">
        <v>8</v>
      </c>
      <c r="B10" s="1" t="s">
        <v>33</v>
      </c>
      <c r="C10" s="2">
        <v>7</v>
      </c>
      <c r="D10" s="1" t="s">
        <v>31</v>
      </c>
      <c r="E10" s="1" t="s">
        <v>3</v>
      </c>
      <c r="F10" s="1" t="s">
        <v>25</v>
      </c>
      <c r="G10" s="1" t="s">
        <v>29</v>
      </c>
      <c r="H10" s="3" t="s">
        <v>32</v>
      </c>
      <c r="I10" s="3">
        <v>35</v>
      </c>
      <c r="J10" s="3">
        <v>35</v>
      </c>
      <c r="K10">
        <f t="shared" si="0"/>
        <v>31500</v>
      </c>
      <c r="L10" s="3">
        <v>3</v>
      </c>
      <c r="M10" s="3">
        <v>900</v>
      </c>
      <c r="N10" s="3">
        <v>500</v>
      </c>
      <c r="O10">
        <f t="shared" si="1"/>
        <v>77000</v>
      </c>
    </row>
    <row r="11" spans="1:15">
      <c r="A11" s="1">
        <v>9</v>
      </c>
      <c r="B11" s="1" t="s">
        <v>34</v>
      </c>
      <c r="C11" s="2">
        <v>1</v>
      </c>
      <c r="D11" s="1" t="s">
        <v>35</v>
      </c>
      <c r="E11" s="1" t="s">
        <v>4</v>
      </c>
      <c r="F11" s="1" t="s">
        <v>25</v>
      </c>
      <c r="G11" s="1" t="s">
        <v>26</v>
      </c>
      <c r="H11" s="3" t="s">
        <v>36</v>
      </c>
      <c r="I11" s="3">
        <v>72</v>
      </c>
      <c r="J11" s="3">
        <v>72</v>
      </c>
      <c r="K11">
        <f t="shared" si="0"/>
        <v>28800</v>
      </c>
      <c r="L11" s="3">
        <v>3.25</v>
      </c>
      <c r="M11" s="3">
        <v>400</v>
      </c>
      <c r="N11" s="3">
        <v>400</v>
      </c>
      <c r="O11">
        <f t="shared" si="1"/>
        <v>64800</v>
      </c>
    </row>
    <row r="12" spans="1:15">
      <c r="A12" s="1">
        <v>10</v>
      </c>
      <c r="B12" s="1" t="s">
        <v>34</v>
      </c>
      <c r="C12" s="2">
        <v>1</v>
      </c>
      <c r="D12" s="1" t="s">
        <v>35</v>
      </c>
      <c r="E12" s="1" t="s">
        <v>4</v>
      </c>
      <c r="F12" s="1" t="s">
        <v>25</v>
      </c>
      <c r="G12" s="1" t="s">
        <v>28</v>
      </c>
      <c r="H12" s="3" t="s">
        <v>36</v>
      </c>
      <c r="I12" s="3">
        <v>72</v>
      </c>
      <c r="J12" s="3">
        <v>72</v>
      </c>
      <c r="K12">
        <f t="shared" si="0"/>
        <v>27360</v>
      </c>
      <c r="L12" s="3">
        <v>3.25</v>
      </c>
      <c r="M12" s="3">
        <v>380</v>
      </c>
      <c r="N12" s="3">
        <v>400</v>
      </c>
      <c r="O12">
        <f t="shared" si="1"/>
        <v>60120</v>
      </c>
    </row>
    <row r="13" spans="1:15">
      <c r="A13" s="1">
        <v>11</v>
      </c>
      <c r="B13" s="1" t="s">
        <v>34</v>
      </c>
      <c r="C13" s="2">
        <v>1</v>
      </c>
      <c r="D13" s="1" t="s">
        <v>35</v>
      </c>
      <c r="E13" s="1" t="s">
        <v>4</v>
      </c>
      <c r="F13" s="1" t="s">
        <v>25</v>
      </c>
      <c r="G13" s="1" t="s">
        <v>29</v>
      </c>
      <c r="H13" s="3" t="s">
        <v>36</v>
      </c>
      <c r="I13" s="3">
        <v>72</v>
      </c>
      <c r="J13" s="3">
        <v>72</v>
      </c>
      <c r="K13">
        <f t="shared" si="0"/>
        <v>25920</v>
      </c>
      <c r="L13" s="3">
        <v>3.25</v>
      </c>
      <c r="M13" s="3">
        <v>360</v>
      </c>
      <c r="N13" s="3">
        <v>400</v>
      </c>
      <c r="O13">
        <f t="shared" si="1"/>
        <v>55440</v>
      </c>
    </row>
    <row r="14" spans="1:15">
      <c r="A14" s="1">
        <v>12</v>
      </c>
      <c r="B14" s="1" t="s">
        <v>37</v>
      </c>
      <c r="C14" s="2">
        <v>4</v>
      </c>
      <c r="D14" s="1" t="s">
        <v>38</v>
      </c>
      <c r="E14" s="1" t="s">
        <v>4</v>
      </c>
      <c r="F14" s="1" t="s">
        <v>25</v>
      </c>
      <c r="G14" s="1" t="s">
        <v>26</v>
      </c>
      <c r="H14" s="3" t="s">
        <v>39</v>
      </c>
      <c r="I14" s="3">
        <v>68</v>
      </c>
      <c r="J14" s="3">
        <v>68</v>
      </c>
      <c r="K14">
        <f t="shared" si="0"/>
        <v>23800</v>
      </c>
      <c r="L14" s="3">
        <v>7</v>
      </c>
      <c r="M14" s="3">
        <v>350</v>
      </c>
      <c r="N14" s="3">
        <v>350</v>
      </c>
      <c r="O14">
        <f t="shared" si="1"/>
        <v>142800</v>
      </c>
    </row>
    <row r="15" spans="1:15">
      <c r="A15" s="1">
        <v>13</v>
      </c>
      <c r="B15" s="1" t="s">
        <v>37</v>
      </c>
      <c r="C15" s="2">
        <v>4</v>
      </c>
      <c r="D15" s="1" t="s">
        <v>38</v>
      </c>
      <c r="E15" s="1" t="s">
        <v>4</v>
      </c>
      <c r="F15" s="1" t="s">
        <v>25</v>
      </c>
      <c r="G15" s="1" t="s">
        <v>28</v>
      </c>
      <c r="H15" s="3" t="s">
        <v>39</v>
      </c>
      <c r="I15" s="3">
        <v>68</v>
      </c>
      <c r="J15" s="3">
        <v>68</v>
      </c>
      <c r="K15">
        <f t="shared" si="0"/>
        <v>22440</v>
      </c>
      <c r="L15" s="3">
        <v>7</v>
      </c>
      <c r="M15" s="3">
        <v>330</v>
      </c>
      <c r="N15" s="3">
        <v>350</v>
      </c>
      <c r="O15">
        <f t="shared" si="1"/>
        <v>133280</v>
      </c>
    </row>
    <row r="16" spans="1:15">
      <c r="A16" s="1">
        <v>14</v>
      </c>
      <c r="B16" s="1" t="s">
        <v>37</v>
      </c>
      <c r="C16" s="2">
        <v>4</v>
      </c>
      <c r="D16" s="1" t="s">
        <v>38</v>
      </c>
      <c r="E16" s="1" t="s">
        <v>4</v>
      </c>
      <c r="F16" s="1" t="s">
        <v>25</v>
      </c>
      <c r="G16" s="1" t="s">
        <v>29</v>
      </c>
      <c r="H16" s="3" t="s">
        <v>39</v>
      </c>
      <c r="I16" s="3">
        <v>68</v>
      </c>
      <c r="J16" s="3">
        <v>68</v>
      </c>
      <c r="K16">
        <f t="shared" si="0"/>
        <v>21420</v>
      </c>
      <c r="L16" s="3">
        <v>7</v>
      </c>
      <c r="M16" s="3">
        <v>315</v>
      </c>
      <c r="N16" s="3">
        <v>350</v>
      </c>
      <c r="O16">
        <f t="shared" si="1"/>
        <v>126140</v>
      </c>
    </row>
    <row r="17" spans="1:15">
      <c r="A17" s="1">
        <v>15</v>
      </c>
      <c r="B17" s="1" t="s">
        <v>40</v>
      </c>
      <c r="C17" s="2">
        <v>8</v>
      </c>
      <c r="D17" s="1" t="s">
        <v>41</v>
      </c>
      <c r="E17" s="1" t="s">
        <v>3</v>
      </c>
      <c r="F17" s="1" t="s">
        <v>25</v>
      </c>
      <c r="G17" s="1" t="s">
        <v>26</v>
      </c>
      <c r="H17" s="3" t="s">
        <v>42</v>
      </c>
      <c r="I17" s="3">
        <v>55</v>
      </c>
      <c r="J17" s="3">
        <v>55</v>
      </c>
      <c r="K17">
        <f t="shared" si="0"/>
        <v>22000</v>
      </c>
      <c r="L17" s="3">
        <v>6.75</v>
      </c>
      <c r="M17" s="3">
        <v>400</v>
      </c>
      <c r="N17" s="3">
        <v>360</v>
      </c>
      <c r="O17">
        <f t="shared" si="1"/>
        <v>128700</v>
      </c>
    </row>
    <row r="18" spans="1:15">
      <c r="A18" s="1">
        <v>16</v>
      </c>
      <c r="B18" s="1" t="s">
        <v>40</v>
      </c>
      <c r="C18" s="2">
        <v>8</v>
      </c>
      <c r="D18" s="1" t="s">
        <v>41</v>
      </c>
      <c r="E18" s="1" t="s">
        <v>3</v>
      </c>
      <c r="F18" s="1" t="s">
        <v>25</v>
      </c>
      <c r="G18" s="1" t="s">
        <v>28</v>
      </c>
      <c r="H18" s="3" t="s">
        <v>42</v>
      </c>
      <c r="I18" s="3">
        <v>55</v>
      </c>
      <c r="J18" s="3">
        <v>55</v>
      </c>
      <c r="K18">
        <f t="shared" si="0"/>
        <v>20900</v>
      </c>
      <c r="L18" s="3">
        <v>6.75</v>
      </c>
      <c r="M18" s="3">
        <v>380</v>
      </c>
      <c r="N18" s="3">
        <v>360</v>
      </c>
      <c r="O18">
        <f t="shared" si="1"/>
        <v>121275</v>
      </c>
    </row>
    <row r="19" spans="1:15">
      <c r="A19" s="1">
        <v>17</v>
      </c>
      <c r="B19" s="1" t="s">
        <v>40</v>
      </c>
      <c r="C19" s="2">
        <v>8</v>
      </c>
      <c r="D19" s="1" t="s">
        <v>41</v>
      </c>
      <c r="E19" s="1" t="s">
        <v>3</v>
      </c>
      <c r="F19" s="1" t="s">
        <v>25</v>
      </c>
      <c r="G19" s="1" t="s">
        <v>29</v>
      </c>
      <c r="H19" s="3" t="s">
        <v>42</v>
      </c>
      <c r="I19" s="3">
        <v>55</v>
      </c>
      <c r="J19" s="3">
        <v>55</v>
      </c>
      <c r="K19">
        <f t="shared" si="0"/>
        <v>19800</v>
      </c>
      <c r="L19" s="3">
        <v>6.75</v>
      </c>
      <c r="M19" s="3">
        <v>360</v>
      </c>
      <c r="N19" s="3">
        <v>360</v>
      </c>
      <c r="O19">
        <f t="shared" si="1"/>
        <v>113850</v>
      </c>
    </row>
    <row r="20" spans="1:15">
      <c r="A20" s="1">
        <v>18</v>
      </c>
      <c r="B20" s="1" t="s">
        <v>43</v>
      </c>
      <c r="C20" s="2">
        <v>6</v>
      </c>
      <c r="D20" s="1" t="s">
        <v>24</v>
      </c>
      <c r="E20" s="1" t="s">
        <v>3</v>
      </c>
      <c r="F20" s="1" t="s">
        <v>25</v>
      </c>
      <c r="G20" s="1" t="s">
        <v>26</v>
      </c>
      <c r="H20" s="3" t="s">
        <v>27</v>
      </c>
      <c r="I20" s="3">
        <v>60</v>
      </c>
      <c r="J20" s="3">
        <v>60</v>
      </c>
      <c r="K20">
        <f t="shared" si="0"/>
        <v>48000</v>
      </c>
      <c r="L20" s="3">
        <v>3.5</v>
      </c>
      <c r="M20" s="3">
        <v>800</v>
      </c>
      <c r="N20" s="3">
        <v>450</v>
      </c>
      <c r="O20">
        <f t="shared" si="1"/>
        <v>141000</v>
      </c>
    </row>
    <row r="21" spans="1:15">
      <c r="A21" s="1">
        <v>19</v>
      </c>
      <c r="B21" s="1" t="s">
        <v>43</v>
      </c>
      <c r="C21" s="2">
        <v>6</v>
      </c>
      <c r="D21" s="1" t="s">
        <v>24</v>
      </c>
      <c r="E21" s="1" t="s">
        <v>3</v>
      </c>
      <c r="F21" s="1" t="s">
        <v>25</v>
      </c>
      <c r="G21" s="1" t="s">
        <v>28</v>
      </c>
      <c r="H21" s="3" t="s">
        <v>27</v>
      </c>
      <c r="I21" s="3">
        <v>60</v>
      </c>
      <c r="J21" s="3">
        <v>60</v>
      </c>
      <c r="K21">
        <f t="shared" si="0"/>
        <v>45600</v>
      </c>
      <c r="L21" s="3">
        <v>3.5</v>
      </c>
      <c r="M21" s="3">
        <v>760</v>
      </c>
      <c r="N21" s="3">
        <v>450</v>
      </c>
      <c r="O21">
        <f t="shared" si="1"/>
        <v>132600</v>
      </c>
    </row>
    <row r="22" spans="1:15">
      <c r="A22" s="1">
        <v>20</v>
      </c>
      <c r="B22" s="1" t="s">
        <v>43</v>
      </c>
      <c r="C22" s="2">
        <v>6</v>
      </c>
      <c r="D22" s="1" t="s">
        <v>24</v>
      </c>
      <c r="E22" s="1" t="s">
        <v>3</v>
      </c>
      <c r="F22" s="1" t="s">
        <v>25</v>
      </c>
      <c r="G22" s="1" t="s">
        <v>29</v>
      </c>
      <c r="H22" s="3" t="s">
        <v>27</v>
      </c>
      <c r="I22" s="3">
        <v>60</v>
      </c>
      <c r="J22" s="3">
        <v>60</v>
      </c>
      <c r="K22">
        <f t="shared" si="0"/>
        <v>43200</v>
      </c>
      <c r="L22" s="3">
        <v>3.5</v>
      </c>
      <c r="M22" s="3">
        <v>720</v>
      </c>
      <c r="N22" s="3">
        <v>450</v>
      </c>
      <c r="O22">
        <f t="shared" si="1"/>
        <v>124200</v>
      </c>
    </row>
    <row r="23" spans="1:15">
      <c r="A23" s="1">
        <v>21</v>
      </c>
      <c r="B23" s="1" t="s">
        <v>44</v>
      </c>
      <c r="C23" s="2">
        <v>2</v>
      </c>
      <c r="D23" s="1" t="s">
        <v>45</v>
      </c>
      <c r="E23" s="1" t="s">
        <v>4</v>
      </c>
      <c r="F23" s="1" t="s">
        <v>25</v>
      </c>
      <c r="G23" s="1" t="s">
        <v>26</v>
      </c>
      <c r="H23" s="3" t="s">
        <v>46</v>
      </c>
      <c r="I23" s="3">
        <v>46</v>
      </c>
      <c r="J23" s="3">
        <v>46</v>
      </c>
      <c r="K23">
        <f t="shared" si="0"/>
        <v>23000</v>
      </c>
      <c r="L23" s="3">
        <v>7.5</v>
      </c>
      <c r="M23" s="3">
        <v>500</v>
      </c>
      <c r="N23" s="3">
        <v>400</v>
      </c>
      <c r="O23">
        <f t="shared" si="1"/>
        <v>154100</v>
      </c>
    </row>
    <row r="24" spans="1:15">
      <c r="A24" s="1">
        <v>22</v>
      </c>
      <c r="B24" s="1" t="s">
        <v>44</v>
      </c>
      <c r="C24" s="2">
        <v>2</v>
      </c>
      <c r="D24" s="1" t="s">
        <v>45</v>
      </c>
      <c r="E24" s="1" t="s">
        <v>4</v>
      </c>
      <c r="F24" s="1" t="s">
        <v>25</v>
      </c>
      <c r="G24" s="1" t="s">
        <v>28</v>
      </c>
      <c r="H24" s="3" t="s">
        <v>46</v>
      </c>
      <c r="I24" s="3">
        <v>46</v>
      </c>
      <c r="J24" s="3">
        <v>46</v>
      </c>
      <c r="K24">
        <f t="shared" si="0"/>
        <v>21850</v>
      </c>
      <c r="L24" s="3">
        <v>7.5</v>
      </c>
      <c r="M24" s="3">
        <v>475</v>
      </c>
      <c r="N24" s="3">
        <v>400</v>
      </c>
      <c r="O24">
        <f t="shared" si="1"/>
        <v>145475</v>
      </c>
    </row>
    <row r="25" spans="1:15">
      <c r="A25" s="1">
        <v>23</v>
      </c>
      <c r="B25" s="1" t="s">
        <v>44</v>
      </c>
      <c r="C25" s="2">
        <v>2</v>
      </c>
      <c r="D25" s="1" t="s">
        <v>45</v>
      </c>
      <c r="E25" s="1" t="s">
        <v>4</v>
      </c>
      <c r="F25" s="1" t="s">
        <v>25</v>
      </c>
      <c r="G25" s="1" t="s">
        <v>29</v>
      </c>
      <c r="H25" s="3" t="s">
        <v>46</v>
      </c>
      <c r="I25" s="3">
        <v>46</v>
      </c>
      <c r="J25" s="3">
        <v>46</v>
      </c>
      <c r="K25">
        <f t="shared" si="0"/>
        <v>20700</v>
      </c>
      <c r="L25" s="3">
        <v>7.5</v>
      </c>
      <c r="M25" s="3">
        <v>450</v>
      </c>
      <c r="N25" s="3">
        <v>400</v>
      </c>
      <c r="O25">
        <f t="shared" si="1"/>
        <v>136850</v>
      </c>
    </row>
    <row r="26" spans="1:15">
      <c r="A26" s="1">
        <v>24</v>
      </c>
      <c r="B26" s="1" t="s">
        <v>47</v>
      </c>
      <c r="C26" s="2">
        <v>3</v>
      </c>
      <c r="D26" s="1" t="s">
        <v>48</v>
      </c>
      <c r="E26" s="1" t="s">
        <v>4</v>
      </c>
      <c r="F26" s="1" t="s">
        <v>25</v>
      </c>
      <c r="G26" s="1" t="s">
        <v>26</v>
      </c>
      <c r="H26" s="3" t="s">
        <v>49</v>
      </c>
      <c r="I26" s="3">
        <v>40</v>
      </c>
      <c r="J26" s="3">
        <v>40</v>
      </c>
      <c r="K26">
        <f t="shared" si="0"/>
        <v>16000</v>
      </c>
      <c r="L26" s="3">
        <v>8.25</v>
      </c>
      <c r="M26" s="3">
        <v>400</v>
      </c>
      <c r="N26" s="3">
        <v>350</v>
      </c>
      <c r="O26">
        <f t="shared" si="1"/>
        <v>118000</v>
      </c>
    </row>
    <row r="27" spans="1:15">
      <c r="A27" s="1">
        <v>25</v>
      </c>
      <c r="B27" s="1" t="s">
        <v>47</v>
      </c>
      <c r="C27" s="2">
        <v>3</v>
      </c>
      <c r="D27" s="1" t="s">
        <v>48</v>
      </c>
      <c r="E27" s="1" t="s">
        <v>4</v>
      </c>
      <c r="F27" s="1" t="s">
        <v>25</v>
      </c>
      <c r="G27" s="1" t="s">
        <v>28</v>
      </c>
      <c r="H27" s="3" t="s">
        <v>49</v>
      </c>
      <c r="I27" s="3">
        <v>40</v>
      </c>
      <c r="J27" s="3">
        <v>40</v>
      </c>
      <c r="K27">
        <f t="shared" si="0"/>
        <v>15200</v>
      </c>
      <c r="L27" s="3">
        <v>8.25</v>
      </c>
      <c r="M27" s="3">
        <v>380</v>
      </c>
      <c r="N27" s="3">
        <v>350</v>
      </c>
      <c r="O27">
        <f t="shared" si="1"/>
        <v>111400</v>
      </c>
    </row>
    <row r="28" spans="1:15">
      <c r="A28" s="1">
        <v>26</v>
      </c>
      <c r="B28" s="1" t="s">
        <v>47</v>
      </c>
      <c r="C28" s="2">
        <v>3</v>
      </c>
      <c r="D28" s="1" t="s">
        <v>48</v>
      </c>
      <c r="E28" s="1" t="s">
        <v>4</v>
      </c>
      <c r="F28" s="1" t="s">
        <v>25</v>
      </c>
      <c r="G28" s="1" t="s">
        <v>29</v>
      </c>
      <c r="H28" s="3" t="s">
        <v>49</v>
      </c>
      <c r="I28" s="3">
        <v>40</v>
      </c>
      <c r="J28" s="3">
        <v>40</v>
      </c>
      <c r="K28">
        <f t="shared" si="0"/>
        <v>14400</v>
      </c>
      <c r="L28" s="3">
        <v>8.25</v>
      </c>
      <c r="M28" s="3">
        <v>360</v>
      </c>
      <c r="N28" s="3">
        <v>350</v>
      </c>
      <c r="O28">
        <f t="shared" si="1"/>
        <v>104800</v>
      </c>
    </row>
    <row r="29" spans="1:15">
      <c r="A29" s="1">
        <v>27</v>
      </c>
      <c r="B29" s="1" t="s">
        <v>50</v>
      </c>
      <c r="C29" s="2">
        <v>4</v>
      </c>
      <c r="D29" s="1" t="s">
        <v>38</v>
      </c>
      <c r="E29" s="1" t="s">
        <v>4</v>
      </c>
      <c r="F29" s="1" t="s">
        <v>25</v>
      </c>
      <c r="G29" s="1" t="s">
        <v>26</v>
      </c>
      <c r="H29" s="3" t="s">
        <v>39</v>
      </c>
      <c r="I29" s="3">
        <v>28</v>
      </c>
      <c r="J29" s="3">
        <v>28</v>
      </c>
      <c r="K29">
        <f t="shared" si="0"/>
        <v>9800</v>
      </c>
      <c r="L29" s="3">
        <v>7</v>
      </c>
      <c r="M29" s="3">
        <v>350</v>
      </c>
      <c r="N29" s="3">
        <v>350</v>
      </c>
      <c r="O29">
        <f t="shared" si="1"/>
        <v>58800</v>
      </c>
    </row>
    <row r="30" spans="1:15">
      <c r="A30" s="1">
        <v>28</v>
      </c>
      <c r="B30" s="1" t="s">
        <v>50</v>
      </c>
      <c r="C30" s="2">
        <v>4</v>
      </c>
      <c r="D30" s="1" t="s">
        <v>38</v>
      </c>
      <c r="E30" s="1" t="s">
        <v>4</v>
      </c>
      <c r="F30" s="1" t="s">
        <v>25</v>
      </c>
      <c r="G30" s="1" t="s">
        <v>28</v>
      </c>
      <c r="H30" s="3" t="s">
        <v>39</v>
      </c>
      <c r="I30" s="3">
        <v>28</v>
      </c>
      <c r="J30" s="3">
        <v>28</v>
      </c>
      <c r="K30">
        <f t="shared" si="0"/>
        <v>9240</v>
      </c>
      <c r="L30" s="3">
        <v>7</v>
      </c>
      <c r="M30" s="3">
        <v>330</v>
      </c>
      <c r="N30" s="3">
        <v>350</v>
      </c>
      <c r="O30">
        <f t="shared" si="1"/>
        <v>54880</v>
      </c>
    </row>
    <row r="31" spans="1:15">
      <c r="A31" s="1">
        <v>29</v>
      </c>
      <c r="B31" s="1" t="s">
        <v>50</v>
      </c>
      <c r="C31" s="2">
        <v>4</v>
      </c>
      <c r="D31" s="1" t="s">
        <v>38</v>
      </c>
      <c r="E31" s="1" t="s">
        <v>4</v>
      </c>
      <c r="F31" s="1" t="s">
        <v>25</v>
      </c>
      <c r="G31" s="1" t="s">
        <v>29</v>
      </c>
      <c r="H31" s="3" t="s">
        <v>39</v>
      </c>
      <c r="I31" s="3">
        <v>28</v>
      </c>
      <c r="J31" s="3">
        <v>28</v>
      </c>
      <c r="K31">
        <f t="shared" si="0"/>
        <v>8820</v>
      </c>
      <c r="L31" s="3">
        <v>7</v>
      </c>
      <c r="M31" s="3">
        <v>315</v>
      </c>
      <c r="N31" s="3">
        <v>350</v>
      </c>
      <c r="O31">
        <f t="shared" si="1"/>
        <v>51940</v>
      </c>
    </row>
    <row r="32" spans="1:15">
      <c r="A32" s="1">
        <v>30</v>
      </c>
      <c r="B32" s="1" t="s">
        <v>51</v>
      </c>
      <c r="C32" s="2">
        <v>5</v>
      </c>
      <c r="D32" s="1" t="s">
        <v>52</v>
      </c>
      <c r="E32" s="1" t="s">
        <v>4</v>
      </c>
      <c r="F32" s="1" t="s">
        <v>25</v>
      </c>
      <c r="G32" s="1" t="s">
        <v>26</v>
      </c>
      <c r="H32" s="3" t="s">
        <v>42</v>
      </c>
      <c r="I32" s="3">
        <v>25</v>
      </c>
      <c r="J32" s="3">
        <v>25</v>
      </c>
      <c r="K32">
        <f t="shared" si="0"/>
        <v>10375</v>
      </c>
      <c r="L32" s="3">
        <v>6.75</v>
      </c>
      <c r="M32" s="3">
        <v>415</v>
      </c>
      <c r="N32" s="3">
        <v>350</v>
      </c>
      <c r="O32">
        <f t="shared" si="1"/>
        <v>61281.25</v>
      </c>
    </row>
    <row r="33" spans="1:15">
      <c r="A33" s="1">
        <v>31</v>
      </c>
      <c r="B33" s="1" t="s">
        <v>51</v>
      </c>
      <c r="C33" s="2">
        <v>5</v>
      </c>
      <c r="D33" s="1" t="s">
        <v>52</v>
      </c>
      <c r="E33" s="1" t="s">
        <v>4</v>
      </c>
      <c r="F33" s="1" t="s">
        <v>25</v>
      </c>
      <c r="G33" s="1" t="s">
        <v>28</v>
      </c>
      <c r="H33" s="3" t="s">
        <v>42</v>
      </c>
      <c r="I33" s="3">
        <v>25</v>
      </c>
      <c r="J33" s="3">
        <v>25</v>
      </c>
      <c r="K33">
        <f t="shared" si="0"/>
        <v>9875</v>
      </c>
      <c r="L33" s="3">
        <v>6.75</v>
      </c>
      <c r="M33" s="3">
        <v>395</v>
      </c>
      <c r="N33" s="3">
        <v>350</v>
      </c>
      <c r="O33">
        <f t="shared" si="1"/>
        <v>57906.25</v>
      </c>
    </row>
    <row r="34" spans="1:15">
      <c r="A34" s="1">
        <v>32</v>
      </c>
      <c r="B34" s="1" t="s">
        <v>51</v>
      </c>
      <c r="C34" s="2">
        <v>5</v>
      </c>
      <c r="D34" s="1" t="s">
        <v>52</v>
      </c>
      <c r="E34" s="1" t="s">
        <v>4</v>
      </c>
      <c r="F34" s="1" t="s">
        <v>25</v>
      </c>
      <c r="G34" s="1" t="s">
        <v>29</v>
      </c>
      <c r="H34" s="3" t="s">
        <v>42</v>
      </c>
      <c r="I34" s="3">
        <v>25</v>
      </c>
      <c r="J34" s="3">
        <v>25</v>
      </c>
      <c r="K34">
        <f t="shared" si="0"/>
        <v>9375</v>
      </c>
      <c r="L34" s="3">
        <v>6.75</v>
      </c>
      <c r="M34" s="3">
        <v>375</v>
      </c>
      <c r="N34" s="3">
        <v>350</v>
      </c>
      <c r="O34">
        <f t="shared" si="1"/>
        <v>54531.25</v>
      </c>
    </row>
    <row r="35" spans="1:15">
      <c r="A35" s="1">
        <v>33</v>
      </c>
      <c r="B35" s="1" t="s">
        <v>53</v>
      </c>
      <c r="C35" s="2">
        <v>8</v>
      </c>
      <c r="D35" s="1" t="s">
        <v>41</v>
      </c>
      <c r="E35" s="1" t="s">
        <v>3</v>
      </c>
      <c r="F35" s="1" t="s">
        <v>25</v>
      </c>
      <c r="G35" s="1" t="s">
        <v>26</v>
      </c>
      <c r="H35" s="3" t="s">
        <v>42</v>
      </c>
      <c r="I35" s="3">
        <v>86</v>
      </c>
      <c r="J35" s="3">
        <v>86</v>
      </c>
      <c r="K35">
        <f t="shared" si="0"/>
        <v>34400</v>
      </c>
      <c r="L35" s="3">
        <v>6.75</v>
      </c>
      <c r="M35" s="3">
        <v>400</v>
      </c>
      <c r="N35" s="3">
        <v>360</v>
      </c>
      <c r="O35">
        <f t="shared" si="1"/>
        <v>201240</v>
      </c>
    </row>
    <row r="36" spans="1:15">
      <c r="A36" s="1">
        <v>34</v>
      </c>
      <c r="B36" s="1" t="s">
        <v>53</v>
      </c>
      <c r="C36" s="2">
        <v>8</v>
      </c>
      <c r="D36" s="1" t="s">
        <v>41</v>
      </c>
      <c r="E36" s="1" t="s">
        <v>3</v>
      </c>
      <c r="F36" s="1" t="s">
        <v>25</v>
      </c>
      <c r="G36" s="1" t="s">
        <v>28</v>
      </c>
      <c r="H36" s="3" t="s">
        <v>42</v>
      </c>
      <c r="I36" s="3">
        <v>86</v>
      </c>
      <c r="J36" s="3">
        <v>86</v>
      </c>
      <c r="K36">
        <f t="shared" si="0"/>
        <v>32680</v>
      </c>
      <c r="L36" s="3">
        <v>6.75</v>
      </c>
      <c r="M36" s="3">
        <v>380</v>
      </c>
      <c r="N36" s="3">
        <v>360</v>
      </c>
      <c r="O36">
        <f t="shared" si="1"/>
        <v>189630</v>
      </c>
    </row>
    <row r="37" spans="1:15">
      <c r="A37" s="1">
        <v>35</v>
      </c>
      <c r="B37" s="1" t="s">
        <v>53</v>
      </c>
      <c r="C37" s="2">
        <v>8</v>
      </c>
      <c r="D37" s="1" t="s">
        <v>41</v>
      </c>
      <c r="E37" s="1" t="s">
        <v>3</v>
      </c>
      <c r="F37" s="1" t="s">
        <v>25</v>
      </c>
      <c r="G37" s="1" t="s">
        <v>29</v>
      </c>
      <c r="H37" s="3" t="s">
        <v>42</v>
      </c>
      <c r="I37" s="3">
        <v>86</v>
      </c>
      <c r="J37" s="3">
        <v>86</v>
      </c>
      <c r="K37">
        <f t="shared" si="0"/>
        <v>30960</v>
      </c>
      <c r="L37" s="3">
        <v>6.75</v>
      </c>
      <c r="M37" s="3">
        <v>360</v>
      </c>
      <c r="N37" s="3">
        <v>360</v>
      </c>
      <c r="O37">
        <f t="shared" si="1"/>
        <v>178020</v>
      </c>
    </row>
    <row r="38" spans="1:15">
      <c r="A38" s="1">
        <v>36</v>
      </c>
      <c r="B38" s="1" t="s">
        <v>54</v>
      </c>
      <c r="C38" s="2">
        <v>6</v>
      </c>
      <c r="D38" s="1" t="s">
        <v>24</v>
      </c>
      <c r="E38" s="1" t="s">
        <v>3</v>
      </c>
      <c r="F38" s="1" t="s">
        <v>25</v>
      </c>
      <c r="G38" s="1" t="s">
        <v>26</v>
      </c>
      <c r="H38" s="3" t="s">
        <v>27</v>
      </c>
      <c r="I38" s="3">
        <v>55</v>
      </c>
      <c r="J38" s="3">
        <v>55</v>
      </c>
      <c r="K38">
        <f t="shared" si="0"/>
        <v>44000</v>
      </c>
      <c r="L38" s="3">
        <v>3.5</v>
      </c>
      <c r="M38" s="3">
        <v>800</v>
      </c>
      <c r="N38" s="3">
        <v>450</v>
      </c>
      <c r="O38">
        <f t="shared" si="1"/>
        <v>129250</v>
      </c>
    </row>
    <row r="39" spans="1:15">
      <c r="A39" s="1">
        <v>37</v>
      </c>
      <c r="B39" s="1" t="s">
        <v>54</v>
      </c>
      <c r="C39" s="2">
        <v>6</v>
      </c>
      <c r="D39" s="1" t="s">
        <v>24</v>
      </c>
      <c r="E39" s="1" t="s">
        <v>3</v>
      </c>
      <c r="F39" s="1" t="s">
        <v>25</v>
      </c>
      <c r="G39" s="1" t="s">
        <v>28</v>
      </c>
      <c r="H39" s="3" t="s">
        <v>27</v>
      </c>
      <c r="I39" s="3">
        <v>55</v>
      </c>
      <c r="J39" s="3">
        <v>55</v>
      </c>
      <c r="K39">
        <f t="shared" si="0"/>
        <v>41800</v>
      </c>
      <c r="L39" s="3">
        <v>3.5</v>
      </c>
      <c r="M39" s="3">
        <v>760</v>
      </c>
      <c r="N39" s="3">
        <v>450</v>
      </c>
      <c r="O39">
        <f t="shared" si="1"/>
        <v>121550</v>
      </c>
    </row>
    <row r="40" spans="1:15">
      <c r="A40" s="1">
        <v>38</v>
      </c>
      <c r="B40" s="1" t="s">
        <v>54</v>
      </c>
      <c r="C40" s="2">
        <v>6</v>
      </c>
      <c r="D40" s="1" t="s">
        <v>24</v>
      </c>
      <c r="E40" s="1" t="s">
        <v>3</v>
      </c>
      <c r="F40" s="1" t="s">
        <v>25</v>
      </c>
      <c r="G40" s="1" t="s">
        <v>29</v>
      </c>
      <c r="H40" s="3" t="s">
        <v>27</v>
      </c>
      <c r="I40" s="3">
        <v>55</v>
      </c>
      <c r="J40" s="3">
        <v>55</v>
      </c>
      <c r="K40">
        <f t="shared" si="0"/>
        <v>39600</v>
      </c>
      <c r="L40" s="3">
        <v>3.5</v>
      </c>
      <c r="M40" s="3">
        <v>720</v>
      </c>
      <c r="N40" s="3">
        <v>450</v>
      </c>
      <c r="O40">
        <f t="shared" si="1"/>
        <v>113850</v>
      </c>
    </row>
    <row r="41" spans="1:15">
      <c r="A41" s="1">
        <v>39</v>
      </c>
      <c r="B41" s="1" t="s">
        <v>55</v>
      </c>
      <c r="C41" s="2">
        <v>8</v>
      </c>
      <c r="D41" s="1" t="s">
        <v>41</v>
      </c>
      <c r="E41" s="1" t="s">
        <v>3</v>
      </c>
      <c r="F41" s="1" t="s">
        <v>25</v>
      </c>
      <c r="G41" s="1" t="s">
        <v>26</v>
      </c>
      <c r="H41" s="3" t="s">
        <v>42</v>
      </c>
      <c r="I41" s="3">
        <v>44</v>
      </c>
      <c r="J41" s="3">
        <v>44</v>
      </c>
      <c r="K41">
        <f t="shared" si="0"/>
        <v>17600</v>
      </c>
      <c r="L41" s="3">
        <v>6.75</v>
      </c>
      <c r="M41" s="3">
        <v>400</v>
      </c>
      <c r="N41" s="3">
        <v>360</v>
      </c>
      <c r="O41">
        <f t="shared" si="1"/>
        <v>102960</v>
      </c>
    </row>
    <row r="42" spans="1:15">
      <c r="A42" s="1">
        <v>40</v>
      </c>
      <c r="B42" s="1" t="s">
        <v>55</v>
      </c>
      <c r="C42" s="2">
        <v>8</v>
      </c>
      <c r="D42" s="1" t="s">
        <v>41</v>
      </c>
      <c r="E42" s="1" t="s">
        <v>3</v>
      </c>
      <c r="F42" s="1" t="s">
        <v>25</v>
      </c>
      <c r="G42" s="1" t="s">
        <v>28</v>
      </c>
      <c r="H42" s="3" t="s">
        <v>42</v>
      </c>
      <c r="I42" s="3">
        <v>44</v>
      </c>
      <c r="J42" s="3">
        <v>44</v>
      </c>
      <c r="K42">
        <f t="shared" si="0"/>
        <v>16720</v>
      </c>
      <c r="L42" s="3">
        <v>6.75</v>
      </c>
      <c r="M42" s="3">
        <v>380</v>
      </c>
      <c r="N42" s="3">
        <v>360</v>
      </c>
      <c r="O42">
        <f t="shared" si="1"/>
        <v>97020</v>
      </c>
    </row>
    <row r="43" spans="1:15">
      <c r="A43" s="1">
        <v>41</v>
      </c>
      <c r="B43" s="1" t="s">
        <v>55</v>
      </c>
      <c r="C43" s="2">
        <v>8</v>
      </c>
      <c r="D43" s="1" t="s">
        <v>41</v>
      </c>
      <c r="E43" s="1" t="s">
        <v>3</v>
      </c>
      <c r="F43" s="1" t="s">
        <v>25</v>
      </c>
      <c r="G43" s="1" t="s">
        <v>29</v>
      </c>
      <c r="H43" s="3" t="s">
        <v>42</v>
      </c>
      <c r="I43" s="3">
        <v>44</v>
      </c>
      <c r="J43" s="3">
        <v>44</v>
      </c>
      <c r="K43">
        <f t="shared" si="0"/>
        <v>15840</v>
      </c>
      <c r="L43" s="3">
        <v>6.75</v>
      </c>
      <c r="M43" s="3">
        <v>360</v>
      </c>
      <c r="N43" s="3">
        <v>360</v>
      </c>
      <c r="O43">
        <f t="shared" si="1"/>
        <v>91080</v>
      </c>
    </row>
    <row r="44" spans="1:15">
      <c r="A44" s="1">
        <v>42</v>
      </c>
      <c r="B44" s="1" t="s">
        <v>56</v>
      </c>
      <c r="C44" s="2">
        <v>9</v>
      </c>
      <c r="D44" s="1" t="s">
        <v>57</v>
      </c>
      <c r="E44" s="1" t="s">
        <v>3</v>
      </c>
      <c r="F44" s="1" t="s">
        <v>25</v>
      </c>
      <c r="G44" s="1" t="s">
        <v>26</v>
      </c>
      <c r="H44" s="3" t="s">
        <v>58</v>
      </c>
      <c r="I44" s="3">
        <v>50</v>
      </c>
      <c r="J44" s="3">
        <v>50</v>
      </c>
      <c r="K44">
        <f t="shared" si="0"/>
        <v>31500</v>
      </c>
      <c r="L44" s="3">
        <v>6</v>
      </c>
      <c r="M44" s="3">
        <v>630</v>
      </c>
      <c r="N44" s="3">
        <v>400</v>
      </c>
      <c r="O44">
        <f t="shared" si="1"/>
        <v>169000</v>
      </c>
    </row>
    <row r="45" spans="1:15">
      <c r="A45" s="1">
        <v>43</v>
      </c>
      <c r="B45" s="1" t="s">
        <v>56</v>
      </c>
      <c r="C45" s="2">
        <v>9</v>
      </c>
      <c r="D45" s="1" t="s">
        <v>57</v>
      </c>
      <c r="E45" s="1" t="s">
        <v>3</v>
      </c>
      <c r="F45" s="1" t="s">
        <v>25</v>
      </c>
      <c r="G45" s="1" t="s">
        <v>28</v>
      </c>
      <c r="H45" s="3" t="s">
        <v>58</v>
      </c>
      <c r="I45" s="3">
        <v>50</v>
      </c>
      <c r="J45" s="3">
        <v>50</v>
      </c>
      <c r="K45">
        <f t="shared" si="0"/>
        <v>30000</v>
      </c>
      <c r="L45" s="3">
        <v>6</v>
      </c>
      <c r="M45" s="3">
        <v>600</v>
      </c>
      <c r="N45" s="3">
        <v>400</v>
      </c>
      <c r="O45">
        <f t="shared" si="1"/>
        <v>160000</v>
      </c>
    </row>
    <row r="46" spans="1:15">
      <c r="A46" s="1">
        <v>44</v>
      </c>
      <c r="B46" s="1" t="s">
        <v>56</v>
      </c>
      <c r="C46" s="2">
        <v>9</v>
      </c>
      <c r="D46" s="1" t="s">
        <v>57</v>
      </c>
      <c r="E46" s="1" t="s">
        <v>3</v>
      </c>
      <c r="F46" s="1" t="s">
        <v>25</v>
      </c>
      <c r="G46" s="1" t="s">
        <v>29</v>
      </c>
      <c r="H46" s="3" t="s">
        <v>58</v>
      </c>
      <c r="I46" s="3">
        <v>50</v>
      </c>
      <c r="J46" s="3">
        <v>50</v>
      </c>
      <c r="K46">
        <f t="shared" si="0"/>
        <v>28500</v>
      </c>
      <c r="L46" s="3">
        <v>6</v>
      </c>
      <c r="M46" s="3">
        <v>570</v>
      </c>
      <c r="N46" s="3">
        <v>400</v>
      </c>
      <c r="O46">
        <f t="shared" si="1"/>
        <v>151000</v>
      </c>
    </row>
    <row r="47" spans="1:15">
      <c r="A47" s="1">
        <v>45</v>
      </c>
      <c r="B47" s="1" t="s">
        <v>59</v>
      </c>
      <c r="C47" s="2">
        <v>10</v>
      </c>
      <c r="D47" s="1" t="s">
        <v>60</v>
      </c>
      <c r="E47" s="1" t="s">
        <v>3</v>
      </c>
      <c r="F47" s="1" t="s">
        <v>25</v>
      </c>
      <c r="G47" s="1" t="s">
        <v>26</v>
      </c>
      <c r="H47" s="3" t="s">
        <v>46</v>
      </c>
      <c r="I47" s="3">
        <v>25</v>
      </c>
      <c r="J47" s="3">
        <v>25</v>
      </c>
      <c r="K47">
        <f t="shared" si="0"/>
        <v>13125</v>
      </c>
      <c r="L47" s="3">
        <v>7.5</v>
      </c>
      <c r="M47" s="3">
        <v>525</v>
      </c>
      <c r="N47" s="3">
        <v>360</v>
      </c>
      <c r="O47">
        <f t="shared" si="1"/>
        <v>89437.5</v>
      </c>
    </row>
    <row r="48" spans="1:15">
      <c r="A48" s="1">
        <v>46</v>
      </c>
      <c r="B48" s="1" t="s">
        <v>59</v>
      </c>
      <c r="C48" s="2">
        <v>10</v>
      </c>
      <c r="D48" s="1" t="s">
        <v>60</v>
      </c>
      <c r="E48" s="1" t="s">
        <v>3</v>
      </c>
      <c r="F48" s="1" t="s">
        <v>25</v>
      </c>
      <c r="G48" s="1" t="s">
        <v>28</v>
      </c>
      <c r="H48" s="3" t="s">
        <v>46</v>
      </c>
      <c r="I48" s="3">
        <v>25</v>
      </c>
      <c r="J48" s="3">
        <v>25</v>
      </c>
      <c r="K48">
        <f t="shared" si="0"/>
        <v>12500</v>
      </c>
      <c r="L48" s="3">
        <v>7.5</v>
      </c>
      <c r="M48" s="3">
        <v>500</v>
      </c>
      <c r="N48" s="3">
        <v>360</v>
      </c>
      <c r="O48">
        <f t="shared" si="1"/>
        <v>84750</v>
      </c>
    </row>
    <row r="49" spans="1:15">
      <c r="A49" s="1">
        <v>47</v>
      </c>
      <c r="B49" s="1" t="s">
        <v>59</v>
      </c>
      <c r="C49" s="2">
        <v>10</v>
      </c>
      <c r="D49" s="1" t="s">
        <v>60</v>
      </c>
      <c r="E49" s="1" t="s">
        <v>3</v>
      </c>
      <c r="F49" s="1" t="s">
        <v>25</v>
      </c>
      <c r="G49" s="1" t="s">
        <v>29</v>
      </c>
      <c r="H49" s="3" t="s">
        <v>46</v>
      </c>
      <c r="I49" s="3">
        <v>25</v>
      </c>
      <c r="J49" s="3">
        <v>25</v>
      </c>
      <c r="K49">
        <f t="shared" si="0"/>
        <v>11875</v>
      </c>
      <c r="L49" s="3">
        <v>7.5</v>
      </c>
      <c r="M49" s="3">
        <v>475</v>
      </c>
      <c r="N49" s="3">
        <v>360</v>
      </c>
      <c r="O49">
        <f t="shared" si="1"/>
        <v>80062.5</v>
      </c>
    </row>
    <row r="50" spans="1:15">
      <c r="A50" s="1">
        <v>48</v>
      </c>
      <c r="B50" s="1" t="s">
        <v>61</v>
      </c>
      <c r="C50" s="2">
        <v>1</v>
      </c>
      <c r="D50" s="1" t="s">
        <v>35</v>
      </c>
      <c r="E50" s="1" t="s">
        <v>4</v>
      </c>
      <c r="F50" s="1" t="s">
        <v>25</v>
      </c>
      <c r="G50" s="1" t="s">
        <v>26</v>
      </c>
      <c r="H50" s="3" t="s">
        <v>36</v>
      </c>
      <c r="I50" s="3">
        <v>60</v>
      </c>
      <c r="J50" s="3">
        <v>60</v>
      </c>
      <c r="K50">
        <f t="shared" si="0"/>
        <v>24000</v>
      </c>
      <c r="L50" s="3">
        <v>3.25</v>
      </c>
      <c r="M50" s="3">
        <v>400</v>
      </c>
      <c r="N50" s="3">
        <v>400</v>
      </c>
      <c r="O50">
        <f t="shared" si="1"/>
        <v>54000</v>
      </c>
    </row>
    <row r="51" spans="1:15">
      <c r="A51" s="1">
        <v>49</v>
      </c>
      <c r="B51" s="1" t="s">
        <v>61</v>
      </c>
      <c r="C51" s="2">
        <v>1</v>
      </c>
      <c r="D51" s="1" t="s">
        <v>35</v>
      </c>
      <c r="E51" s="1" t="s">
        <v>4</v>
      </c>
      <c r="F51" s="1" t="s">
        <v>25</v>
      </c>
      <c r="G51" s="1" t="s">
        <v>28</v>
      </c>
      <c r="H51" s="3" t="s">
        <v>36</v>
      </c>
      <c r="I51" s="3">
        <v>60</v>
      </c>
      <c r="J51" s="3">
        <v>60</v>
      </c>
      <c r="K51">
        <f t="shared" si="0"/>
        <v>22800</v>
      </c>
      <c r="L51" s="3">
        <v>3.25</v>
      </c>
      <c r="M51" s="3">
        <v>380</v>
      </c>
      <c r="N51" s="3">
        <v>400</v>
      </c>
      <c r="O51">
        <f t="shared" si="1"/>
        <v>50100</v>
      </c>
    </row>
    <row r="52" spans="1:15">
      <c r="A52" s="1">
        <v>50</v>
      </c>
      <c r="B52" s="1" t="s">
        <v>61</v>
      </c>
      <c r="C52" s="2">
        <v>1</v>
      </c>
      <c r="D52" s="1" t="s">
        <v>35</v>
      </c>
      <c r="E52" s="1" t="s">
        <v>4</v>
      </c>
      <c r="F52" s="1" t="s">
        <v>25</v>
      </c>
      <c r="G52" s="1" t="s">
        <v>29</v>
      </c>
      <c r="H52" s="3" t="s">
        <v>36</v>
      </c>
      <c r="I52" s="3">
        <v>60</v>
      </c>
      <c r="J52" s="3">
        <v>60</v>
      </c>
      <c r="K52">
        <f t="shared" si="0"/>
        <v>21600</v>
      </c>
      <c r="L52" s="3">
        <v>3.25</v>
      </c>
      <c r="M52" s="3">
        <v>360</v>
      </c>
      <c r="N52" s="3">
        <v>400</v>
      </c>
      <c r="O52">
        <f t="shared" si="1"/>
        <v>46200</v>
      </c>
    </row>
    <row r="53" spans="1:15">
      <c r="A53" s="1">
        <v>51</v>
      </c>
      <c r="B53" s="1" t="s">
        <v>62</v>
      </c>
      <c r="C53" s="2">
        <v>7</v>
      </c>
      <c r="D53" s="1" t="s">
        <v>31</v>
      </c>
      <c r="E53" s="1" t="s">
        <v>3</v>
      </c>
      <c r="F53" s="1" t="s">
        <v>25</v>
      </c>
      <c r="G53" s="1" t="s">
        <v>26</v>
      </c>
      <c r="H53" s="3" t="s">
        <v>32</v>
      </c>
      <c r="I53" s="3">
        <v>45</v>
      </c>
      <c r="J53" s="3">
        <v>45</v>
      </c>
      <c r="K53">
        <f t="shared" si="0"/>
        <v>45000</v>
      </c>
      <c r="L53" s="3">
        <v>3</v>
      </c>
      <c r="M53" s="3">
        <v>1000</v>
      </c>
      <c r="N53" s="3">
        <v>500</v>
      </c>
      <c r="O53">
        <f t="shared" si="1"/>
        <v>112500</v>
      </c>
    </row>
    <row r="54" spans="1:15">
      <c r="A54" s="1">
        <v>52</v>
      </c>
      <c r="B54" s="1" t="s">
        <v>62</v>
      </c>
      <c r="C54" s="2">
        <v>7</v>
      </c>
      <c r="D54" s="1" t="s">
        <v>31</v>
      </c>
      <c r="E54" s="1" t="s">
        <v>3</v>
      </c>
      <c r="F54" s="1" t="s">
        <v>25</v>
      </c>
      <c r="G54" s="1" t="s">
        <v>28</v>
      </c>
      <c r="H54" s="3" t="s">
        <v>32</v>
      </c>
      <c r="I54" s="3">
        <v>45</v>
      </c>
      <c r="J54" s="3">
        <v>45</v>
      </c>
      <c r="K54">
        <f t="shared" si="0"/>
        <v>42750</v>
      </c>
      <c r="L54" s="3">
        <v>3</v>
      </c>
      <c r="M54" s="3">
        <v>950</v>
      </c>
      <c r="N54" s="3">
        <v>500</v>
      </c>
      <c r="O54">
        <f t="shared" si="1"/>
        <v>105750</v>
      </c>
    </row>
    <row r="55" spans="1:15">
      <c r="A55" s="1">
        <v>53</v>
      </c>
      <c r="B55" s="1" t="s">
        <v>62</v>
      </c>
      <c r="C55" s="2">
        <v>7</v>
      </c>
      <c r="D55" s="1" t="s">
        <v>31</v>
      </c>
      <c r="E55" s="1" t="s">
        <v>3</v>
      </c>
      <c r="F55" s="1" t="s">
        <v>25</v>
      </c>
      <c r="G55" s="1" t="s">
        <v>29</v>
      </c>
      <c r="H55" s="3" t="s">
        <v>32</v>
      </c>
      <c r="I55" s="3">
        <v>45</v>
      </c>
      <c r="J55" s="3">
        <v>45</v>
      </c>
      <c r="K55">
        <f t="shared" si="0"/>
        <v>40500</v>
      </c>
      <c r="L55" s="3">
        <v>3</v>
      </c>
      <c r="M55" s="3">
        <v>900</v>
      </c>
      <c r="N55" s="3">
        <v>500</v>
      </c>
      <c r="O55">
        <f t="shared" si="1"/>
        <v>99000</v>
      </c>
    </row>
    <row r="56" spans="1:15">
      <c r="A56" s="1">
        <v>54</v>
      </c>
      <c r="B56" s="1" t="s">
        <v>63</v>
      </c>
      <c r="C56" s="2">
        <v>14</v>
      </c>
      <c r="D56" s="1" t="s">
        <v>64</v>
      </c>
      <c r="E56" s="1" t="s">
        <v>3</v>
      </c>
      <c r="F56" s="1" t="s">
        <v>25</v>
      </c>
      <c r="G56" s="1" t="s">
        <v>26</v>
      </c>
      <c r="H56" s="3" t="s">
        <v>65</v>
      </c>
      <c r="I56" s="3">
        <v>35</v>
      </c>
      <c r="J56" s="3">
        <v>35</v>
      </c>
      <c r="K56">
        <f t="shared" si="0"/>
        <v>14700</v>
      </c>
      <c r="L56" s="3">
        <v>5.5</v>
      </c>
      <c r="M56" s="3">
        <v>420</v>
      </c>
      <c r="N56" s="3">
        <v>400</v>
      </c>
      <c r="O56">
        <f t="shared" si="1"/>
        <v>66850</v>
      </c>
    </row>
    <row r="57" spans="1:15">
      <c r="A57" s="1">
        <v>55</v>
      </c>
      <c r="B57" s="1" t="s">
        <v>63</v>
      </c>
      <c r="C57" s="2">
        <v>14</v>
      </c>
      <c r="D57" s="1" t="s">
        <v>64</v>
      </c>
      <c r="E57" s="1" t="s">
        <v>3</v>
      </c>
      <c r="F57" s="1" t="s">
        <v>25</v>
      </c>
      <c r="G57" s="1" t="s">
        <v>28</v>
      </c>
      <c r="H57" s="3" t="s">
        <v>65</v>
      </c>
      <c r="I57" s="3">
        <v>35</v>
      </c>
      <c r="J57" s="3">
        <v>35</v>
      </c>
      <c r="K57">
        <f t="shared" si="0"/>
        <v>14000</v>
      </c>
      <c r="L57" s="3">
        <v>5.5</v>
      </c>
      <c r="M57" s="3">
        <v>400</v>
      </c>
      <c r="N57" s="3">
        <v>400</v>
      </c>
      <c r="O57">
        <f t="shared" si="1"/>
        <v>63000</v>
      </c>
    </row>
    <row r="58" spans="1:15">
      <c r="A58" s="1">
        <v>56</v>
      </c>
      <c r="B58" s="1" t="s">
        <v>63</v>
      </c>
      <c r="C58" s="2">
        <v>14</v>
      </c>
      <c r="D58" s="1" t="s">
        <v>64</v>
      </c>
      <c r="E58" s="1" t="s">
        <v>3</v>
      </c>
      <c r="F58" s="1" t="s">
        <v>25</v>
      </c>
      <c r="G58" s="1" t="s">
        <v>29</v>
      </c>
      <c r="H58" s="3" t="s">
        <v>65</v>
      </c>
      <c r="I58" s="3">
        <v>35</v>
      </c>
      <c r="J58" s="3">
        <v>35</v>
      </c>
      <c r="K58">
        <f t="shared" si="0"/>
        <v>13300</v>
      </c>
      <c r="L58" s="3">
        <v>5.5</v>
      </c>
      <c r="M58" s="3">
        <v>380</v>
      </c>
      <c r="N58" s="3">
        <v>400</v>
      </c>
      <c r="O58">
        <f t="shared" si="1"/>
        <v>59150</v>
      </c>
    </row>
    <row r="59" spans="1:15">
      <c r="A59" s="1">
        <v>57</v>
      </c>
      <c r="B59" s="1" t="s">
        <v>66</v>
      </c>
      <c r="C59" s="2">
        <v>15</v>
      </c>
      <c r="D59" s="1" t="s">
        <v>67</v>
      </c>
      <c r="E59" s="1" t="s">
        <v>3</v>
      </c>
      <c r="F59" s="1" t="s">
        <v>25</v>
      </c>
      <c r="G59" s="1" t="s">
        <v>26</v>
      </c>
      <c r="H59" s="3" t="s">
        <v>27</v>
      </c>
      <c r="I59" s="3">
        <v>20</v>
      </c>
      <c r="J59" s="3">
        <v>20</v>
      </c>
      <c r="K59">
        <f t="shared" si="0"/>
        <v>10500</v>
      </c>
      <c r="L59" s="3">
        <v>3.5</v>
      </c>
      <c r="M59" s="3">
        <v>525</v>
      </c>
      <c r="N59" s="3">
        <v>350</v>
      </c>
      <c r="O59">
        <f t="shared" si="1"/>
        <v>29750</v>
      </c>
    </row>
    <row r="60" spans="1:15">
      <c r="A60" s="1">
        <v>58</v>
      </c>
      <c r="B60" s="1" t="s">
        <v>66</v>
      </c>
      <c r="C60" s="2">
        <v>15</v>
      </c>
      <c r="D60" s="1" t="s">
        <v>67</v>
      </c>
      <c r="E60" s="1" t="s">
        <v>3</v>
      </c>
      <c r="F60" s="1" t="s">
        <v>25</v>
      </c>
      <c r="G60" s="1" t="s">
        <v>28</v>
      </c>
      <c r="H60" s="3" t="s">
        <v>27</v>
      </c>
      <c r="I60" s="3">
        <v>20</v>
      </c>
      <c r="J60" s="3">
        <v>20</v>
      </c>
      <c r="K60">
        <f t="shared" si="0"/>
        <v>10000</v>
      </c>
      <c r="L60" s="3">
        <v>3.5</v>
      </c>
      <c r="M60" s="3">
        <v>500</v>
      </c>
      <c r="N60" s="3">
        <v>350</v>
      </c>
      <c r="O60">
        <f t="shared" si="1"/>
        <v>28000</v>
      </c>
    </row>
    <row r="61" spans="1:15">
      <c r="A61" s="1">
        <v>59</v>
      </c>
      <c r="B61" s="1" t="s">
        <v>66</v>
      </c>
      <c r="C61" s="2">
        <v>15</v>
      </c>
      <c r="D61" s="1" t="s">
        <v>67</v>
      </c>
      <c r="E61" s="1" t="s">
        <v>3</v>
      </c>
      <c r="F61" s="1" t="s">
        <v>25</v>
      </c>
      <c r="G61" s="1" t="s">
        <v>29</v>
      </c>
      <c r="H61" s="3" t="s">
        <v>27</v>
      </c>
      <c r="I61" s="3">
        <v>20</v>
      </c>
      <c r="J61" s="3">
        <v>20</v>
      </c>
      <c r="K61">
        <f t="shared" si="0"/>
        <v>9500</v>
      </c>
      <c r="L61" s="3">
        <v>3.5</v>
      </c>
      <c r="M61" s="3">
        <v>475</v>
      </c>
      <c r="N61" s="3">
        <v>350</v>
      </c>
      <c r="O61">
        <f t="shared" si="1"/>
        <v>26250</v>
      </c>
    </row>
    <row r="62" spans="1:15">
      <c r="A62" s="1">
        <v>60</v>
      </c>
      <c r="B62" s="1" t="s">
        <v>68</v>
      </c>
      <c r="C62" s="2">
        <v>11</v>
      </c>
      <c r="D62" s="1" t="s">
        <v>69</v>
      </c>
      <c r="E62" s="1" t="s">
        <v>3</v>
      </c>
      <c r="F62" s="1" t="s">
        <v>25</v>
      </c>
      <c r="G62" s="1" t="s">
        <v>26</v>
      </c>
      <c r="H62" s="3" t="s">
        <v>70</v>
      </c>
      <c r="I62" s="3">
        <v>15</v>
      </c>
      <c r="J62" s="3">
        <v>15</v>
      </c>
      <c r="K62">
        <f t="shared" si="0"/>
        <v>1650</v>
      </c>
      <c r="L62" s="3">
        <v>40</v>
      </c>
      <c r="M62" s="3">
        <v>110</v>
      </c>
      <c r="N62" s="3">
        <v>350</v>
      </c>
      <c r="O62">
        <f t="shared" si="1"/>
        <v>60750</v>
      </c>
    </row>
    <row r="63" spans="1:15">
      <c r="A63" s="1">
        <v>61</v>
      </c>
      <c r="B63" s="1" t="s">
        <v>68</v>
      </c>
      <c r="C63" s="2">
        <v>11</v>
      </c>
      <c r="D63" s="1" t="s">
        <v>69</v>
      </c>
      <c r="E63" s="1" t="s">
        <v>3</v>
      </c>
      <c r="F63" s="1" t="s">
        <v>25</v>
      </c>
      <c r="G63" s="1" t="s">
        <v>28</v>
      </c>
      <c r="H63" s="3" t="s">
        <v>70</v>
      </c>
      <c r="I63" s="3">
        <v>15</v>
      </c>
      <c r="J63" s="3">
        <v>15</v>
      </c>
      <c r="K63">
        <f t="shared" si="0"/>
        <v>1575</v>
      </c>
      <c r="L63" s="3">
        <v>40</v>
      </c>
      <c r="M63" s="3">
        <v>105</v>
      </c>
      <c r="N63" s="3">
        <v>350</v>
      </c>
      <c r="O63">
        <f t="shared" si="1"/>
        <v>57750</v>
      </c>
    </row>
    <row r="64" spans="1:15">
      <c r="A64" s="1">
        <v>62</v>
      </c>
      <c r="B64" s="1" t="s">
        <v>68</v>
      </c>
      <c r="C64" s="2">
        <v>11</v>
      </c>
      <c r="D64" s="1" t="s">
        <v>69</v>
      </c>
      <c r="E64" s="1" t="s">
        <v>3</v>
      </c>
      <c r="F64" s="1" t="s">
        <v>25</v>
      </c>
      <c r="G64" s="1" t="s">
        <v>29</v>
      </c>
      <c r="H64" s="3" t="s">
        <v>70</v>
      </c>
      <c r="I64" s="3">
        <v>15</v>
      </c>
      <c r="J64" s="3">
        <v>15</v>
      </c>
      <c r="K64">
        <f t="shared" si="0"/>
        <v>1500</v>
      </c>
      <c r="L64" s="3">
        <v>40</v>
      </c>
      <c r="M64" s="3">
        <v>100</v>
      </c>
      <c r="N64" s="3">
        <v>350</v>
      </c>
      <c r="O64">
        <f t="shared" si="1"/>
        <v>54750</v>
      </c>
    </row>
    <row r="65" spans="1:15">
      <c r="A65" s="1">
        <v>63</v>
      </c>
      <c r="B65" s="1" t="s">
        <v>71</v>
      </c>
      <c r="C65" s="2">
        <v>12</v>
      </c>
      <c r="D65" s="1" t="s">
        <v>72</v>
      </c>
      <c r="E65" s="1" t="s">
        <v>3</v>
      </c>
      <c r="F65" s="1" t="s">
        <v>25</v>
      </c>
      <c r="G65" s="1" t="s">
        <v>26</v>
      </c>
      <c r="H65" s="3" t="s">
        <v>73</v>
      </c>
      <c r="I65" s="3">
        <v>13</v>
      </c>
      <c r="J65" s="3">
        <v>13</v>
      </c>
      <c r="K65">
        <f t="shared" si="0"/>
        <v>39000</v>
      </c>
      <c r="L65" s="3">
        <v>1.5</v>
      </c>
      <c r="M65" s="3">
        <v>3000</v>
      </c>
      <c r="N65" s="3">
        <v>1000</v>
      </c>
      <c r="O65">
        <f t="shared" si="1"/>
        <v>45500</v>
      </c>
    </row>
    <row r="66" spans="1:15">
      <c r="A66" s="1">
        <v>64</v>
      </c>
      <c r="B66" s="1" t="s">
        <v>71</v>
      </c>
      <c r="C66" s="2">
        <v>12</v>
      </c>
      <c r="D66" s="1" t="s">
        <v>72</v>
      </c>
      <c r="E66" s="1" t="s">
        <v>3</v>
      </c>
      <c r="F66" s="1" t="s">
        <v>25</v>
      </c>
      <c r="G66" s="1" t="s">
        <v>28</v>
      </c>
      <c r="H66" s="3" t="s">
        <v>73</v>
      </c>
      <c r="I66" s="3">
        <v>13</v>
      </c>
      <c r="J66" s="3">
        <v>13</v>
      </c>
      <c r="K66">
        <f t="shared" si="0"/>
        <v>37050</v>
      </c>
      <c r="L66" s="3">
        <v>1.5</v>
      </c>
      <c r="M66" s="3">
        <v>2850</v>
      </c>
      <c r="N66" s="3">
        <v>1000</v>
      </c>
      <c r="O66">
        <f t="shared" si="1"/>
        <v>42575</v>
      </c>
    </row>
    <row r="67" spans="1:15">
      <c r="A67" s="1">
        <v>65</v>
      </c>
      <c r="B67" s="1" t="s">
        <v>71</v>
      </c>
      <c r="C67" s="2">
        <v>12</v>
      </c>
      <c r="D67" s="1" t="s">
        <v>72</v>
      </c>
      <c r="E67" s="1" t="s">
        <v>3</v>
      </c>
      <c r="F67" s="1" t="s">
        <v>25</v>
      </c>
      <c r="G67" s="1" t="s">
        <v>29</v>
      </c>
      <c r="H67" s="3" t="s">
        <v>73</v>
      </c>
      <c r="I67" s="3">
        <v>13</v>
      </c>
      <c r="J67" s="3">
        <v>13</v>
      </c>
      <c r="K67">
        <f t="shared" ref="K67:K130" si="2">M67*I67</f>
        <v>35100</v>
      </c>
      <c r="L67" s="3">
        <v>1.5</v>
      </c>
      <c r="M67" s="3">
        <v>2700</v>
      </c>
      <c r="N67" s="3">
        <v>1000</v>
      </c>
      <c r="O67">
        <f t="shared" ref="O67:O130" si="3">K67*L67-J67*N67</f>
        <v>39650</v>
      </c>
    </row>
    <row r="68" spans="1:15">
      <c r="A68" s="1">
        <v>66</v>
      </c>
      <c r="B68" s="1" t="s">
        <v>74</v>
      </c>
      <c r="C68" s="2">
        <v>1</v>
      </c>
      <c r="D68" s="1" t="s">
        <v>35</v>
      </c>
      <c r="E68" s="1" t="s">
        <v>4</v>
      </c>
      <c r="F68" s="1" t="s">
        <v>25</v>
      </c>
      <c r="G68" s="1" t="s">
        <v>26</v>
      </c>
      <c r="H68" s="3" t="s">
        <v>36</v>
      </c>
      <c r="I68" s="3">
        <v>15</v>
      </c>
      <c r="J68" s="3">
        <v>15</v>
      </c>
      <c r="K68">
        <f t="shared" si="2"/>
        <v>6000</v>
      </c>
      <c r="L68" s="3">
        <v>3.25</v>
      </c>
      <c r="M68" s="3">
        <v>400</v>
      </c>
      <c r="N68" s="3">
        <v>400</v>
      </c>
      <c r="O68">
        <f t="shared" si="3"/>
        <v>13500</v>
      </c>
    </row>
    <row r="69" spans="1:15">
      <c r="A69" s="1">
        <v>67</v>
      </c>
      <c r="B69" s="1" t="s">
        <v>74</v>
      </c>
      <c r="C69" s="2">
        <v>1</v>
      </c>
      <c r="D69" s="1" t="s">
        <v>35</v>
      </c>
      <c r="E69" s="1" t="s">
        <v>4</v>
      </c>
      <c r="F69" s="1" t="s">
        <v>25</v>
      </c>
      <c r="G69" s="1" t="s">
        <v>28</v>
      </c>
      <c r="H69" s="3" t="s">
        <v>36</v>
      </c>
      <c r="I69" s="3">
        <v>15</v>
      </c>
      <c r="J69" s="3">
        <v>15</v>
      </c>
      <c r="K69">
        <f t="shared" si="2"/>
        <v>5700</v>
      </c>
      <c r="L69" s="3">
        <v>3.25</v>
      </c>
      <c r="M69" s="3">
        <v>380</v>
      </c>
      <c r="N69" s="3">
        <v>400</v>
      </c>
      <c r="O69">
        <f t="shared" si="3"/>
        <v>12525</v>
      </c>
    </row>
    <row r="70" spans="1:15">
      <c r="A70" s="1">
        <v>68</v>
      </c>
      <c r="B70" s="1" t="s">
        <v>74</v>
      </c>
      <c r="C70" s="2">
        <v>1</v>
      </c>
      <c r="D70" s="1" t="s">
        <v>35</v>
      </c>
      <c r="E70" s="1" t="s">
        <v>4</v>
      </c>
      <c r="F70" s="1" t="s">
        <v>25</v>
      </c>
      <c r="G70" s="1" t="s">
        <v>29</v>
      </c>
      <c r="H70" s="3" t="s">
        <v>36</v>
      </c>
      <c r="I70" s="3">
        <v>15</v>
      </c>
      <c r="J70" s="3">
        <v>15</v>
      </c>
      <c r="K70">
        <f t="shared" si="2"/>
        <v>5400</v>
      </c>
      <c r="L70" s="3">
        <v>3.25</v>
      </c>
      <c r="M70" s="3">
        <v>360</v>
      </c>
      <c r="N70" s="3">
        <v>400</v>
      </c>
      <c r="O70">
        <f t="shared" si="3"/>
        <v>11550</v>
      </c>
    </row>
    <row r="71" spans="1:15">
      <c r="A71" s="1">
        <v>69</v>
      </c>
      <c r="B71" s="1" t="s">
        <v>75</v>
      </c>
      <c r="C71" s="2">
        <v>13</v>
      </c>
      <c r="D71" s="1" t="s">
        <v>76</v>
      </c>
      <c r="E71" s="1" t="s">
        <v>3</v>
      </c>
      <c r="F71" s="1" t="s">
        <v>25</v>
      </c>
      <c r="G71" s="1" t="s">
        <v>26</v>
      </c>
      <c r="H71" s="3" t="s">
        <v>36</v>
      </c>
      <c r="I71" s="3">
        <v>18</v>
      </c>
      <c r="J71" s="3">
        <v>18</v>
      </c>
      <c r="K71">
        <f t="shared" si="2"/>
        <v>39600</v>
      </c>
      <c r="L71" s="3">
        <v>3.25</v>
      </c>
      <c r="M71" s="3">
        <v>2200</v>
      </c>
      <c r="N71" s="3">
        <v>2000</v>
      </c>
      <c r="O71">
        <f t="shared" si="3"/>
        <v>92700</v>
      </c>
    </row>
    <row r="72" spans="1:15">
      <c r="A72" s="1">
        <v>70</v>
      </c>
      <c r="B72" s="1" t="s">
        <v>75</v>
      </c>
      <c r="C72" s="2">
        <v>13</v>
      </c>
      <c r="D72" s="1" t="s">
        <v>76</v>
      </c>
      <c r="E72" s="1" t="s">
        <v>3</v>
      </c>
      <c r="F72" s="1" t="s">
        <v>25</v>
      </c>
      <c r="G72" s="1" t="s">
        <v>28</v>
      </c>
      <c r="H72" s="3" t="s">
        <v>36</v>
      </c>
      <c r="I72" s="3">
        <v>18</v>
      </c>
      <c r="J72" s="3">
        <v>18</v>
      </c>
      <c r="K72">
        <f t="shared" si="2"/>
        <v>37800</v>
      </c>
      <c r="L72" s="3">
        <v>3.25</v>
      </c>
      <c r="M72" s="3">
        <v>2100</v>
      </c>
      <c r="N72" s="3">
        <v>2000</v>
      </c>
      <c r="O72">
        <f t="shared" si="3"/>
        <v>86850</v>
      </c>
    </row>
    <row r="73" spans="1:15">
      <c r="A73" s="1">
        <v>71</v>
      </c>
      <c r="B73" s="1" t="s">
        <v>75</v>
      </c>
      <c r="C73" s="2">
        <v>13</v>
      </c>
      <c r="D73" s="1" t="s">
        <v>76</v>
      </c>
      <c r="E73" s="1" t="s">
        <v>3</v>
      </c>
      <c r="F73" s="1" t="s">
        <v>25</v>
      </c>
      <c r="G73" s="1" t="s">
        <v>29</v>
      </c>
      <c r="H73" s="3" t="s">
        <v>36</v>
      </c>
      <c r="I73" s="3">
        <v>18</v>
      </c>
      <c r="J73" s="3">
        <v>18</v>
      </c>
      <c r="K73">
        <f t="shared" si="2"/>
        <v>36000</v>
      </c>
      <c r="L73" s="3">
        <v>3.25</v>
      </c>
      <c r="M73" s="3">
        <v>2000</v>
      </c>
      <c r="N73" s="3">
        <v>2000</v>
      </c>
      <c r="O73">
        <f t="shared" si="3"/>
        <v>81000</v>
      </c>
    </row>
    <row r="74" spans="1:15">
      <c r="A74" s="1">
        <v>72</v>
      </c>
      <c r="B74" s="1" t="s">
        <v>77</v>
      </c>
      <c r="C74" s="2">
        <v>6</v>
      </c>
      <c r="D74" s="1" t="s">
        <v>24</v>
      </c>
      <c r="E74" s="1" t="s">
        <v>3</v>
      </c>
      <c r="F74" s="1" t="s">
        <v>25</v>
      </c>
      <c r="G74" s="1" t="s">
        <v>26</v>
      </c>
      <c r="H74" s="3" t="s">
        <v>27</v>
      </c>
      <c r="I74" s="3">
        <v>27</v>
      </c>
      <c r="J74" s="3">
        <v>27</v>
      </c>
      <c r="K74">
        <f t="shared" si="2"/>
        <v>21600</v>
      </c>
      <c r="L74" s="3">
        <v>3.5</v>
      </c>
      <c r="M74" s="3">
        <v>800</v>
      </c>
      <c r="N74" s="3">
        <v>450</v>
      </c>
      <c r="O74">
        <f t="shared" si="3"/>
        <v>63450</v>
      </c>
    </row>
    <row r="75" spans="1:15">
      <c r="A75" s="1">
        <v>73</v>
      </c>
      <c r="B75" s="1" t="s">
        <v>77</v>
      </c>
      <c r="C75" s="2">
        <v>6</v>
      </c>
      <c r="D75" s="1" t="s">
        <v>24</v>
      </c>
      <c r="E75" s="1" t="s">
        <v>3</v>
      </c>
      <c r="F75" s="1" t="s">
        <v>25</v>
      </c>
      <c r="G75" s="1" t="s">
        <v>28</v>
      </c>
      <c r="H75" s="3" t="s">
        <v>27</v>
      </c>
      <c r="I75" s="3">
        <v>27</v>
      </c>
      <c r="J75" s="3">
        <v>27</v>
      </c>
      <c r="K75">
        <f t="shared" si="2"/>
        <v>20520</v>
      </c>
      <c r="L75" s="3">
        <v>3.5</v>
      </c>
      <c r="M75" s="3">
        <v>760</v>
      </c>
      <c r="N75" s="3">
        <v>450</v>
      </c>
      <c r="O75">
        <f t="shared" si="3"/>
        <v>59670</v>
      </c>
    </row>
    <row r="76" spans="1:15">
      <c r="A76" s="1">
        <v>74</v>
      </c>
      <c r="B76" s="1" t="s">
        <v>77</v>
      </c>
      <c r="C76" s="2">
        <v>6</v>
      </c>
      <c r="D76" s="1" t="s">
        <v>24</v>
      </c>
      <c r="E76" s="1" t="s">
        <v>3</v>
      </c>
      <c r="F76" s="1" t="s">
        <v>25</v>
      </c>
      <c r="G76" s="1" t="s">
        <v>29</v>
      </c>
      <c r="H76" s="3" t="s">
        <v>27</v>
      </c>
      <c r="I76" s="3">
        <v>27</v>
      </c>
      <c r="J76" s="3">
        <v>27</v>
      </c>
      <c r="K76">
        <f t="shared" si="2"/>
        <v>19440</v>
      </c>
      <c r="L76" s="3">
        <v>3.5</v>
      </c>
      <c r="M76" s="3">
        <v>720</v>
      </c>
      <c r="N76" s="3">
        <v>450</v>
      </c>
      <c r="O76">
        <f t="shared" si="3"/>
        <v>55890</v>
      </c>
    </row>
    <row r="77" spans="1:15">
      <c r="A77" s="1">
        <v>75</v>
      </c>
      <c r="B77" s="1" t="s">
        <v>78</v>
      </c>
      <c r="C77" s="2">
        <v>3</v>
      </c>
      <c r="D77" s="1" t="s">
        <v>48</v>
      </c>
      <c r="E77" s="1" t="s">
        <v>4</v>
      </c>
      <c r="F77" s="1" t="s">
        <v>25</v>
      </c>
      <c r="G77" s="1" t="s">
        <v>26</v>
      </c>
      <c r="H77" s="3" t="s">
        <v>49</v>
      </c>
      <c r="I77" s="3">
        <v>20</v>
      </c>
      <c r="J77" s="3">
        <v>20</v>
      </c>
      <c r="K77">
        <f t="shared" si="2"/>
        <v>8000</v>
      </c>
      <c r="L77" s="3">
        <v>8.25</v>
      </c>
      <c r="M77" s="3">
        <v>400</v>
      </c>
      <c r="N77" s="3">
        <v>350</v>
      </c>
      <c r="O77">
        <f t="shared" si="3"/>
        <v>59000</v>
      </c>
    </row>
    <row r="78" spans="1:15">
      <c r="A78" s="1">
        <v>76</v>
      </c>
      <c r="B78" s="1" t="s">
        <v>78</v>
      </c>
      <c r="C78" s="2">
        <v>3</v>
      </c>
      <c r="D78" s="1" t="s">
        <v>48</v>
      </c>
      <c r="E78" s="1" t="s">
        <v>4</v>
      </c>
      <c r="F78" s="1" t="s">
        <v>25</v>
      </c>
      <c r="G78" s="1" t="s">
        <v>28</v>
      </c>
      <c r="H78" s="3" t="s">
        <v>49</v>
      </c>
      <c r="I78" s="3">
        <v>20</v>
      </c>
      <c r="J78" s="3">
        <v>20</v>
      </c>
      <c r="K78">
        <f t="shared" si="2"/>
        <v>7600</v>
      </c>
      <c r="L78" s="3">
        <v>8.25</v>
      </c>
      <c r="M78" s="3">
        <v>380</v>
      </c>
      <c r="N78" s="3">
        <v>350</v>
      </c>
      <c r="O78">
        <f t="shared" si="3"/>
        <v>55700</v>
      </c>
    </row>
    <row r="79" spans="1:15">
      <c r="A79" s="1">
        <v>77</v>
      </c>
      <c r="B79" s="1" t="s">
        <v>78</v>
      </c>
      <c r="C79" s="2">
        <v>3</v>
      </c>
      <c r="D79" s="1" t="s">
        <v>48</v>
      </c>
      <c r="E79" s="1" t="s">
        <v>4</v>
      </c>
      <c r="F79" s="1" t="s">
        <v>25</v>
      </c>
      <c r="G79" s="1" t="s">
        <v>29</v>
      </c>
      <c r="H79" s="3" t="s">
        <v>49</v>
      </c>
      <c r="I79" s="3">
        <v>20</v>
      </c>
      <c r="J79" s="3">
        <v>20</v>
      </c>
      <c r="K79">
        <f t="shared" si="2"/>
        <v>7200</v>
      </c>
      <c r="L79" s="3">
        <v>8.25</v>
      </c>
      <c r="M79" s="3">
        <v>360</v>
      </c>
      <c r="N79" s="3">
        <v>350</v>
      </c>
      <c r="O79">
        <f t="shared" si="3"/>
        <v>52400</v>
      </c>
    </row>
    <row r="80" spans="1:15">
      <c r="A80" s="1">
        <v>78</v>
      </c>
      <c r="B80" s="1" t="s">
        <v>79</v>
      </c>
      <c r="C80" s="2">
        <v>20</v>
      </c>
      <c r="D80" s="1" t="s">
        <v>80</v>
      </c>
      <c r="E80" s="1" t="s">
        <v>6</v>
      </c>
      <c r="F80" s="1" t="s">
        <v>81</v>
      </c>
      <c r="G80" s="1" t="s">
        <v>82</v>
      </c>
      <c r="H80" s="3" t="s">
        <v>83</v>
      </c>
      <c r="I80" s="3">
        <v>15</v>
      </c>
      <c r="J80" s="3">
        <v>15</v>
      </c>
      <c r="K80">
        <f t="shared" si="2"/>
        <v>30000</v>
      </c>
      <c r="L80" s="3">
        <v>3.75</v>
      </c>
      <c r="M80" s="3">
        <v>2000</v>
      </c>
      <c r="N80" s="3">
        <v>2000</v>
      </c>
      <c r="O80">
        <f t="shared" si="3"/>
        <v>82500</v>
      </c>
    </row>
    <row r="81" spans="1:15">
      <c r="A81" s="1">
        <v>79</v>
      </c>
      <c r="B81" s="1" t="s">
        <v>79</v>
      </c>
      <c r="C81" s="2">
        <v>20</v>
      </c>
      <c r="D81" s="1" t="s">
        <v>80</v>
      </c>
      <c r="E81" s="1" t="s">
        <v>6</v>
      </c>
      <c r="F81" s="1" t="s">
        <v>81</v>
      </c>
      <c r="G81" s="1" t="s">
        <v>84</v>
      </c>
      <c r="H81" s="3" t="s">
        <v>83</v>
      </c>
      <c r="I81" s="3">
        <v>15</v>
      </c>
      <c r="J81" s="3">
        <v>15</v>
      </c>
      <c r="K81">
        <f t="shared" si="2"/>
        <v>36000</v>
      </c>
      <c r="L81" s="3">
        <v>3.75</v>
      </c>
      <c r="M81" s="3">
        <v>2400</v>
      </c>
      <c r="N81" s="3">
        <v>2400</v>
      </c>
      <c r="O81">
        <f t="shared" si="3"/>
        <v>99000</v>
      </c>
    </row>
    <row r="82" spans="1:15">
      <c r="A82" s="1">
        <v>80</v>
      </c>
      <c r="B82" s="1" t="s">
        <v>79</v>
      </c>
      <c r="C82" s="2">
        <v>20</v>
      </c>
      <c r="D82" s="1" t="s">
        <v>80</v>
      </c>
      <c r="E82" s="1" t="s">
        <v>6</v>
      </c>
      <c r="F82" s="1" t="s">
        <v>81</v>
      </c>
      <c r="G82" s="1" t="s">
        <v>85</v>
      </c>
      <c r="H82" s="3" t="s">
        <v>86</v>
      </c>
      <c r="I82" s="3">
        <v>15</v>
      </c>
      <c r="J82" s="3">
        <v>15</v>
      </c>
      <c r="K82">
        <f t="shared" si="2"/>
        <v>33000</v>
      </c>
      <c r="L82" s="3">
        <v>4.5</v>
      </c>
      <c r="M82" s="3">
        <v>2200</v>
      </c>
      <c r="N82" s="3">
        <v>2640</v>
      </c>
      <c r="O82">
        <f t="shared" si="3"/>
        <v>108900</v>
      </c>
    </row>
    <row r="83" spans="1:15">
      <c r="A83" s="1">
        <v>81</v>
      </c>
      <c r="B83" s="1" t="s">
        <v>79</v>
      </c>
      <c r="C83" s="2">
        <v>36</v>
      </c>
      <c r="D83" s="1" t="s">
        <v>87</v>
      </c>
      <c r="E83" s="1" t="s">
        <v>6</v>
      </c>
      <c r="F83" s="1" t="s">
        <v>88</v>
      </c>
      <c r="G83" s="1" t="s">
        <v>82</v>
      </c>
      <c r="H83" s="3" t="s">
        <v>89</v>
      </c>
      <c r="I83" s="3">
        <v>15</v>
      </c>
      <c r="J83" s="3">
        <v>15</v>
      </c>
      <c r="K83">
        <f t="shared" si="2"/>
        <v>60000</v>
      </c>
      <c r="L83" s="3">
        <v>2.5</v>
      </c>
      <c r="M83" s="3">
        <v>4000</v>
      </c>
      <c r="N83" s="3">
        <v>500</v>
      </c>
      <c r="O83">
        <f t="shared" si="3"/>
        <v>142500</v>
      </c>
    </row>
    <row r="84" spans="1:15">
      <c r="A84" s="1">
        <v>82</v>
      </c>
      <c r="B84" s="1" t="s">
        <v>90</v>
      </c>
      <c r="C84" s="2">
        <v>28</v>
      </c>
      <c r="D84" s="1" t="s">
        <v>91</v>
      </c>
      <c r="E84" s="1" t="s">
        <v>6</v>
      </c>
      <c r="F84" s="1" t="s">
        <v>81</v>
      </c>
      <c r="G84" s="1" t="s">
        <v>82</v>
      </c>
      <c r="H84" s="3" t="s">
        <v>92</v>
      </c>
      <c r="I84" s="3">
        <v>10</v>
      </c>
      <c r="J84" s="3">
        <v>10</v>
      </c>
      <c r="K84">
        <f t="shared" si="2"/>
        <v>32000</v>
      </c>
      <c r="L84" s="3">
        <v>5.75</v>
      </c>
      <c r="M84" s="3">
        <v>3200</v>
      </c>
      <c r="N84" s="3">
        <v>1600</v>
      </c>
      <c r="O84">
        <f t="shared" si="3"/>
        <v>168000</v>
      </c>
    </row>
    <row r="85" spans="1:15">
      <c r="A85" s="1">
        <v>83</v>
      </c>
      <c r="B85" s="1" t="s">
        <v>90</v>
      </c>
      <c r="C85" s="2">
        <v>28</v>
      </c>
      <c r="D85" s="1" t="s">
        <v>91</v>
      </c>
      <c r="E85" s="1" t="s">
        <v>6</v>
      </c>
      <c r="F85" s="1" t="s">
        <v>81</v>
      </c>
      <c r="G85" s="1" t="s">
        <v>84</v>
      </c>
      <c r="H85" s="3" t="s">
        <v>92</v>
      </c>
      <c r="I85" s="3">
        <v>10</v>
      </c>
      <c r="J85" s="3">
        <v>10</v>
      </c>
      <c r="K85">
        <f t="shared" si="2"/>
        <v>40000</v>
      </c>
      <c r="L85" s="3">
        <v>5.75</v>
      </c>
      <c r="M85" s="3">
        <v>4000</v>
      </c>
      <c r="N85" s="3">
        <v>2000</v>
      </c>
      <c r="O85">
        <f t="shared" si="3"/>
        <v>210000</v>
      </c>
    </row>
    <row r="86" spans="1:15">
      <c r="A86" s="1">
        <v>84</v>
      </c>
      <c r="B86" s="1" t="s">
        <v>90</v>
      </c>
      <c r="C86" s="2">
        <v>28</v>
      </c>
      <c r="D86" s="1" t="s">
        <v>91</v>
      </c>
      <c r="E86" s="1" t="s">
        <v>6</v>
      </c>
      <c r="F86" s="1" t="s">
        <v>81</v>
      </c>
      <c r="G86" s="1" t="s">
        <v>85</v>
      </c>
      <c r="H86" s="3" t="s">
        <v>93</v>
      </c>
      <c r="I86" s="3">
        <v>10</v>
      </c>
      <c r="J86" s="3">
        <v>10</v>
      </c>
      <c r="K86">
        <f t="shared" si="2"/>
        <v>36000</v>
      </c>
      <c r="L86" s="3">
        <v>6.9</v>
      </c>
      <c r="M86" s="3">
        <v>3600</v>
      </c>
      <c r="N86" s="3">
        <v>2200</v>
      </c>
      <c r="O86">
        <f t="shared" si="3"/>
        <v>226400</v>
      </c>
    </row>
    <row r="87" spans="1:15">
      <c r="A87" s="1">
        <v>85</v>
      </c>
      <c r="B87" s="1" t="s">
        <v>90</v>
      </c>
      <c r="C87" s="2">
        <v>35</v>
      </c>
      <c r="D87" s="1" t="s">
        <v>94</v>
      </c>
      <c r="E87" s="1" t="s">
        <v>6</v>
      </c>
      <c r="F87" s="1" t="s">
        <v>88</v>
      </c>
      <c r="G87" s="1" t="s">
        <v>82</v>
      </c>
      <c r="H87" s="3" t="s">
        <v>89</v>
      </c>
      <c r="I87" s="3">
        <v>10</v>
      </c>
      <c r="J87" s="3">
        <v>10</v>
      </c>
      <c r="K87">
        <f t="shared" si="2"/>
        <v>50000</v>
      </c>
      <c r="L87" s="3">
        <v>2.5</v>
      </c>
      <c r="M87" s="3">
        <v>5000</v>
      </c>
      <c r="N87" s="3">
        <v>2000</v>
      </c>
      <c r="O87">
        <f t="shared" si="3"/>
        <v>105000</v>
      </c>
    </row>
    <row r="88" spans="1:15">
      <c r="A88" s="1">
        <v>86</v>
      </c>
      <c r="B88" s="1" t="s">
        <v>95</v>
      </c>
      <c r="C88" s="2">
        <v>21</v>
      </c>
      <c r="D88" s="1" t="s">
        <v>96</v>
      </c>
      <c r="E88" s="1" t="s">
        <v>6</v>
      </c>
      <c r="F88" s="1" t="s">
        <v>81</v>
      </c>
      <c r="G88" s="1" t="s">
        <v>82</v>
      </c>
      <c r="H88" s="3" t="s">
        <v>97</v>
      </c>
      <c r="I88" s="3">
        <v>14</v>
      </c>
      <c r="J88" s="3">
        <v>14</v>
      </c>
      <c r="K88">
        <f t="shared" si="2"/>
        <v>33600</v>
      </c>
      <c r="L88" s="3">
        <v>6.25</v>
      </c>
      <c r="M88" s="3">
        <v>2400</v>
      </c>
      <c r="N88" s="3">
        <v>2000</v>
      </c>
      <c r="O88">
        <f t="shared" si="3"/>
        <v>182000</v>
      </c>
    </row>
    <row r="89" spans="1:15">
      <c r="A89" s="1">
        <v>87</v>
      </c>
      <c r="B89" s="1" t="s">
        <v>95</v>
      </c>
      <c r="C89" s="2">
        <v>21</v>
      </c>
      <c r="D89" s="1" t="s">
        <v>96</v>
      </c>
      <c r="E89" s="1" t="s">
        <v>6</v>
      </c>
      <c r="F89" s="1" t="s">
        <v>81</v>
      </c>
      <c r="G89" s="1" t="s">
        <v>84</v>
      </c>
      <c r="H89" s="3" t="s">
        <v>97</v>
      </c>
      <c r="I89" s="3">
        <v>14</v>
      </c>
      <c r="J89" s="3">
        <v>14</v>
      </c>
      <c r="K89">
        <f t="shared" si="2"/>
        <v>42000</v>
      </c>
      <c r="L89" s="3">
        <v>6.25</v>
      </c>
      <c r="M89" s="3">
        <v>3000</v>
      </c>
      <c r="N89" s="3">
        <v>2400</v>
      </c>
      <c r="O89">
        <f t="shared" si="3"/>
        <v>228900</v>
      </c>
    </row>
    <row r="90" spans="1:15">
      <c r="A90" s="1">
        <v>88</v>
      </c>
      <c r="B90" s="1" t="s">
        <v>95</v>
      </c>
      <c r="C90" s="2">
        <v>21</v>
      </c>
      <c r="D90" s="1" t="s">
        <v>96</v>
      </c>
      <c r="E90" s="1" t="s">
        <v>6</v>
      </c>
      <c r="F90" s="1" t="s">
        <v>81</v>
      </c>
      <c r="G90" s="1" t="s">
        <v>85</v>
      </c>
      <c r="H90" s="3" t="s">
        <v>98</v>
      </c>
      <c r="I90" s="3">
        <v>14</v>
      </c>
      <c r="J90" s="3">
        <v>14</v>
      </c>
      <c r="K90">
        <f t="shared" si="2"/>
        <v>37800</v>
      </c>
      <c r="L90" s="3">
        <v>7.5</v>
      </c>
      <c r="M90" s="3">
        <v>2700</v>
      </c>
      <c r="N90" s="3">
        <v>2640</v>
      </c>
      <c r="O90">
        <f t="shared" si="3"/>
        <v>246540</v>
      </c>
    </row>
    <row r="91" spans="1:15">
      <c r="A91" s="1">
        <v>89</v>
      </c>
      <c r="B91" s="1" t="s">
        <v>95</v>
      </c>
      <c r="C91" s="2">
        <v>35</v>
      </c>
      <c r="D91" s="1" t="s">
        <v>94</v>
      </c>
      <c r="E91" s="1" t="s">
        <v>6</v>
      </c>
      <c r="F91" s="1" t="s">
        <v>88</v>
      </c>
      <c r="G91" s="1" t="s">
        <v>82</v>
      </c>
      <c r="H91" s="3" t="s">
        <v>89</v>
      </c>
      <c r="I91" s="3">
        <v>14</v>
      </c>
      <c r="J91" s="3">
        <v>14</v>
      </c>
      <c r="K91">
        <f t="shared" si="2"/>
        <v>70000</v>
      </c>
      <c r="L91" s="3">
        <v>2.5</v>
      </c>
      <c r="M91" s="3">
        <v>5000</v>
      </c>
      <c r="N91" s="3">
        <v>2000</v>
      </c>
      <c r="O91">
        <f t="shared" si="3"/>
        <v>147000</v>
      </c>
    </row>
    <row r="92" spans="1:15">
      <c r="A92" s="1">
        <v>90</v>
      </c>
      <c r="B92" s="1" t="s">
        <v>99</v>
      </c>
      <c r="C92" s="2">
        <v>22</v>
      </c>
      <c r="D92" s="1" t="s">
        <v>100</v>
      </c>
      <c r="E92" s="1" t="s">
        <v>6</v>
      </c>
      <c r="F92" s="1" t="s">
        <v>81</v>
      </c>
      <c r="G92" s="1" t="s">
        <v>82</v>
      </c>
      <c r="H92" s="3" t="s">
        <v>65</v>
      </c>
      <c r="I92" s="3">
        <v>6</v>
      </c>
      <c r="J92" s="3">
        <v>6</v>
      </c>
      <c r="K92">
        <f t="shared" si="2"/>
        <v>38400</v>
      </c>
      <c r="L92" s="3">
        <v>5.5</v>
      </c>
      <c r="M92" s="3">
        <v>6400</v>
      </c>
      <c r="N92" s="3">
        <v>2000</v>
      </c>
      <c r="O92">
        <f t="shared" si="3"/>
        <v>199200</v>
      </c>
    </row>
    <row r="93" spans="1:15">
      <c r="A93" s="1">
        <v>91</v>
      </c>
      <c r="B93" s="1" t="s">
        <v>99</v>
      </c>
      <c r="C93" s="2">
        <v>22</v>
      </c>
      <c r="D93" s="1" t="s">
        <v>100</v>
      </c>
      <c r="E93" s="1" t="s">
        <v>6</v>
      </c>
      <c r="F93" s="1" t="s">
        <v>81</v>
      </c>
      <c r="G93" s="1" t="s">
        <v>84</v>
      </c>
      <c r="H93" s="3" t="s">
        <v>65</v>
      </c>
      <c r="I93" s="3">
        <v>6</v>
      </c>
      <c r="J93" s="3">
        <v>6</v>
      </c>
      <c r="K93">
        <f t="shared" si="2"/>
        <v>48000</v>
      </c>
      <c r="L93" s="3">
        <v>5.5</v>
      </c>
      <c r="M93" s="3">
        <v>8000</v>
      </c>
      <c r="N93" s="3">
        <v>2400</v>
      </c>
      <c r="O93">
        <f t="shared" si="3"/>
        <v>249600</v>
      </c>
    </row>
    <row r="94" spans="1:15">
      <c r="A94" s="1">
        <v>92</v>
      </c>
      <c r="B94" s="1" t="s">
        <v>99</v>
      </c>
      <c r="C94" s="2">
        <v>22</v>
      </c>
      <c r="D94" s="1" t="s">
        <v>100</v>
      </c>
      <c r="E94" s="1" t="s">
        <v>6</v>
      </c>
      <c r="F94" s="1" t="s">
        <v>81</v>
      </c>
      <c r="G94" s="1" t="s">
        <v>85</v>
      </c>
      <c r="H94" s="3" t="s">
        <v>101</v>
      </c>
      <c r="I94" s="3">
        <v>6</v>
      </c>
      <c r="J94" s="3">
        <v>6</v>
      </c>
      <c r="K94">
        <f t="shared" si="2"/>
        <v>43200</v>
      </c>
      <c r="L94" s="3">
        <v>6.6</v>
      </c>
      <c r="M94" s="3">
        <v>7200</v>
      </c>
      <c r="N94" s="3">
        <v>2640</v>
      </c>
      <c r="O94">
        <f t="shared" si="3"/>
        <v>269280</v>
      </c>
    </row>
    <row r="95" spans="1:15">
      <c r="A95" s="1">
        <v>93</v>
      </c>
      <c r="B95" s="1" t="s">
        <v>99</v>
      </c>
      <c r="C95" s="2">
        <v>35</v>
      </c>
      <c r="D95" s="1" t="s">
        <v>94</v>
      </c>
      <c r="E95" s="1" t="s">
        <v>6</v>
      </c>
      <c r="F95" s="1" t="s">
        <v>88</v>
      </c>
      <c r="G95" s="1" t="s">
        <v>82</v>
      </c>
      <c r="H95" s="3" t="s">
        <v>89</v>
      </c>
      <c r="I95" s="3">
        <v>6</v>
      </c>
      <c r="J95" s="3">
        <v>6</v>
      </c>
      <c r="K95">
        <f t="shared" si="2"/>
        <v>30000</v>
      </c>
      <c r="L95" s="3">
        <v>2.5</v>
      </c>
      <c r="M95" s="3">
        <v>5000</v>
      </c>
      <c r="N95" s="3">
        <v>2000</v>
      </c>
      <c r="O95">
        <f t="shared" si="3"/>
        <v>63000</v>
      </c>
    </row>
    <row r="96" spans="1:15">
      <c r="A96" s="1">
        <v>94</v>
      </c>
      <c r="B96" s="1" t="s">
        <v>102</v>
      </c>
      <c r="C96" s="2">
        <v>17</v>
      </c>
      <c r="D96" s="1" t="s">
        <v>103</v>
      </c>
      <c r="E96" s="1" t="s">
        <v>7</v>
      </c>
      <c r="F96" s="1" t="s">
        <v>81</v>
      </c>
      <c r="G96" s="1" t="s">
        <v>82</v>
      </c>
      <c r="H96" s="3" t="s">
        <v>104</v>
      </c>
      <c r="I96" s="3">
        <v>10</v>
      </c>
      <c r="J96" s="3">
        <v>10</v>
      </c>
      <c r="K96">
        <f t="shared" si="2"/>
        <v>30000</v>
      </c>
      <c r="L96" s="3">
        <v>8</v>
      </c>
      <c r="M96" s="3">
        <v>3000</v>
      </c>
      <c r="N96" s="3">
        <v>2000</v>
      </c>
      <c r="O96">
        <f t="shared" si="3"/>
        <v>220000</v>
      </c>
    </row>
    <row r="97" spans="1:15">
      <c r="A97" s="1">
        <v>95</v>
      </c>
      <c r="B97" s="1" t="s">
        <v>102</v>
      </c>
      <c r="C97" s="2">
        <v>17</v>
      </c>
      <c r="D97" s="1" t="s">
        <v>103</v>
      </c>
      <c r="E97" s="1" t="s">
        <v>7</v>
      </c>
      <c r="F97" s="1" t="s">
        <v>81</v>
      </c>
      <c r="G97" s="1" t="s">
        <v>84</v>
      </c>
      <c r="H97" s="3" t="s">
        <v>104</v>
      </c>
      <c r="I97" s="3">
        <v>10</v>
      </c>
      <c r="J97" s="3">
        <v>10</v>
      </c>
      <c r="K97">
        <f t="shared" si="2"/>
        <v>36000</v>
      </c>
      <c r="L97" s="3">
        <v>8</v>
      </c>
      <c r="M97" s="3">
        <v>3600</v>
      </c>
      <c r="N97" s="3">
        <v>2400</v>
      </c>
      <c r="O97">
        <f t="shared" si="3"/>
        <v>264000</v>
      </c>
    </row>
    <row r="98" spans="1:15">
      <c r="A98" s="1">
        <v>96</v>
      </c>
      <c r="B98" s="1" t="s">
        <v>102</v>
      </c>
      <c r="C98" s="2">
        <v>17</v>
      </c>
      <c r="D98" s="1" t="s">
        <v>103</v>
      </c>
      <c r="E98" s="1" t="s">
        <v>7</v>
      </c>
      <c r="F98" s="1" t="s">
        <v>81</v>
      </c>
      <c r="G98" s="1" t="s">
        <v>85</v>
      </c>
      <c r="H98" s="3" t="s">
        <v>105</v>
      </c>
      <c r="I98" s="3">
        <v>10</v>
      </c>
      <c r="J98" s="3">
        <v>10</v>
      </c>
      <c r="K98">
        <f t="shared" si="2"/>
        <v>32000</v>
      </c>
      <c r="L98" s="3">
        <v>9.6</v>
      </c>
      <c r="M98" s="3">
        <v>3200</v>
      </c>
      <c r="N98" s="3">
        <v>2640</v>
      </c>
      <c r="O98">
        <f t="shared" si="3"/>
        <v>280800</v>
      </c>
    </row>
    <row r="99" spans="1:15">
      <c r="A99" s="1">
        <v>97</v>
      </c>
      <c r="B99" s="1" t="s">
        <v>102</v>
      </c>
      <c r="C99" s="2">
        <v>36</v>
      </c>
      <c r="D99" s="1" t="s">
        <v>87</v>
      </c>
      <c r="E99" s="1" t="s">
        <v>6</v>
      </c>
      <c r="F99" s="1" t="s">
        <v>88</v>
      </c>
      <c r="G99" s="1" t="s">
        <v>82</v>
      </c>
      <c r="H99" s="3" t="s">
        <v>89</v>
      </c>
      <c r="I99" s="3">
        <v>10</v>
      </c>
      <c r="J99" s="3">
        <v>10</v>
      </c>
      <c r="K99">
        <f t="shared" si="2"/>
        <v>40000</v>
      </c>
      <c r="L99" s="3">
        <v>2.5</v>
      </c>
      <c r="M99" s="3">
        <v>4000</v>
      </c>
      <c r="N99" s="3">
        <v>500</v>
      </c>
      <c r="O99">
        <f t="shared" si="3"/>
        <v>95000</v>
      </c>
    </row>
    <row r="100" spans="1:15">
      <c r="A100" s="1">
        <v>98</v>
      </c>
      <c r="B100" s="1" t="s">
        <v>106</v>
      </c>
      <c r="C100" s="2">
        <v>18</v>
      </c>
      <c r="D100" s="1" t="s">
        <v>107</v>
      </c>
      <c r="E100" s="1" t="s">
        <v>7</v>
      </c>
      <c r="F100" s="1" t="s">
        <v>81</v>
      </c>
      <c r="G100" s="1" t="s">
        <v>82</v>
      </c>
      <c r="H100" s="3" t="s">
        <v>108</v>
      </c>
      <c r="I100" s="3">
        <v>12</v>
      </c>
      <c r="J100" s="3">
        <v>12</v>
      </c>
      <c r="K100">
        <f t="shared" si="2"/>
        <v>24000</v>
      </c>
      <c r="L100" s="3">
        <v>6.75</v>
      </c>
      <c r="M100" s="3">
        <v>2000</v>
      </c>
      <c r="N100" s="3">
        <v>1000</v>
      </c>
      <c r="O100">
        <f t="shared" si="3"/>
        <v>150000</v>
      </c>
    </row>
    <row r="101" spans="1:15">
      <c r="A101" s="1">
        <v>99</v>
      </c>
      <c r="B101" s="1" t="s">
        <v>106</v>
      </c>
      <c r="C101" s="2">
        <v>18</v>
      </c>
      <c r="D101" s="1" t="s">
        <v>107</v>
      </c>
      <c r="E101" s="1" t="s">
        <v>7</v>
      </c>
      <c r="F101" s="1" t="s">
        <v>81</v>
      </c>
      <c r="G101" s="1" t="s">
        <v>84</v>
      </c>
      <c r="H101" s="3" t="s">
        <v>108</v>
      </c>
      <c r="I101" s="3">
        <v>12</v>
      </c>
      <c r="J101" s="3">
        <v>12</v>
      </c>
      <c r="K101">
        <f t="shared" si="2"/>
        <v>28800</v>
      </c>
      <c r="L101" s="3">
        <v>6.75</v>
      </c>
      <c r="M101" s="3">
        <v>2400</v>
      </c>
      <c r="N101" s="3">
        <v>1200</v>
      </c>
      <c r="O101">
        <f t="shared" si="3"/>
        <v>180000</v>
      </c>
    </row>
    <row r="102" spans="1:15">
      <c r="A102" s="1">
        <v>100</v>
      </c>
      <c r="B102" s="1" t="s">
        <v>106</v>
      </c>
      <c r="C102" s="2">
        <v>18</v>
      </c>
      <c r="D102" s="1" t="s">
        <v>107</v>
      </c>
      <c r="E102" s="1" t="s">
        <v>7</v>
      </c>
      <c r="F102" s="1" t="s">
        <v>81</v>
      </c>
      <c r="G102" s="1" t="s">
        <v>85</v>
      </c>
      <c r="H102" s="3" t="s">
        <v>109</v>
      </c>
      <c r="I102" s="3">
        <v>12</v>
      </c>
      <c r="J102" s="3">
        <v>12</v>
      </c>
      <c r="K102">
        <f t="shared" si="2"/>
        <v>26400</v>
      </c>
      <c r="L102" s="3">
        <v>8.1</v>
      </c>
      <c r="M102" s="3">
        <v>2200</v>
      </c>
      <c r="N102" s="3">
        <v>1320</v>
      </c>
      <c r="O102">
        <f t="shared" si="3"/>
        <v>198000</v>
      </c>
    </row>
    <row r="103" spans="1:15">
      <c r="A103" s="1">
        <v>101</v>
      </c>
      <c r="B103" s="1" t="s">
        <v>106</v>
      </c>
      <c r="C103" s="2">
        <v>37</v>
      </c>
      <c r="D103" s="1" t="s">
        <v>110</v>
      </c>
      <c r="E103" s="1" t="s">
        <v>6</v>
      </c>
      <c r="F103" s="1" t="s">
        <v>88</v>
      </c>
      <c r="G103" s="1" t="s">
        <v>82</v>
      </c>
      <c r="H103" s="3" t="s">
        <v>36</v>
      </c>
      <c r="I103" s="3">
        <v>12</v>
      </c>
      <c r="J103" s="3">
        <v>12</v>
      </c>
      <c r="K103">
        <f t="shared" si="2"/>
        <v>36000</v>
      </c>
      <c r="L103" s="3">
        <v>3.25</v>
      </c>
      <c r="M103" s="3">
        <v>3000</v>
      </c>
      <c r="N103" s="3">
        <v>500</v>
      </c>
      <c r="O103">
        <f t="shared" si="3"/>
        <v>111000</v>
      </c>
    </row>
    <row r="104" spans="1:15">
      <c r="A104" s="1">
        <v>102</v>
      </c>
      <c r="B104" s="1" t="s">
        <v>111</v>
      </c>
      <c r="C104" s="2">
        <v>16</v>
      </c>
      <c r="D104" s="1" t="s">
        <v>112</v>
      </c>
      <c r="E104" s="1" t="s">
        <v>3</v>
      </c>
      <c r="F104" s="1" t="s">
        <v>25</v>
      </c>
      <c r="G104" s="1" t="s">
        <v>82</v>
      </c>
      <c r="H104" s="3" t="s">
        <v>39</v>
      </c>
      <c r="I104" s="3">
        <v>22</v>
      </c>
      <c r="J104" s="3">
        <v>22</v>
      </c>
      <c r="K104">
        <f t="shared" si="2"/>
        <v>11000</v>
      </c>
      <c r="L104" s="3">
        <v>7</v>
      </c>
      <c r="M104" s="3">
        <v>500</v>
      </c>
      <c r="N104" s="3">
        <v>680</v>
      </c>
      <c r="O104">
        <f t="shared" si="3"/>
        <v>62040</v>
      </c>
    </row>
    <row r="105" spans="1:15">
      <c r="A105" s="1">
        <v>103</v>
      </c>
      <c r="B105" s="1" t="s">
        <v>113</v>
      </c>
      <c r="C105" s="2">
        <v>16</v>
      </c>
      <c r="D105" s="1" t="s">
        <v>112</v>
      </c>
      <c r="E105" s="1" t="s">
        <v>3</v>
      </c>
      <c r="F105" s="1" t="s">
        <v>25</v>
      </c>
      <c r="G105" s="1" t="s">
        <v>82</v>
      </c>
      <c r="H105" s="3" t="s">
        <v>39</v>
      </c>
      <c r="I105" s="3">
        <v>20</v>
      </c>
      <c r="J105" s="3">
        <v>20</v>
      </c>
      <c r="K105">
        <f t="shared" si="2"/>
        <v>10000</v>
      </c>
      <c r="L105" s="3">
        <v>7</v>
      </c>
      <c r="M105" s="3">
        <v>500</v>
      </c>
      <c r="N105" s="3">
        <v>680</v>
      </c>
      <c r="O105">
        <f t="shared" si="3"/>
        <v>56400</v>
      </c>
    </row>
    <row r="106" spans="1:15">
      <c r="A106" s="1">
        <v>104</v>
      </c>
      <c r="B106" s="1" t="s">
        <v>114</v>
      </c>
      <c r="C106" s="2">
        <v>18</v>
      </c>
      <c r="D106" s="1" t="s">
        <v>107</v>
      </c>
      <c r="E106" s="1" t="s">
        <v>7</v>
      </c>
      <c r="F106" s="1" t="s">
        <v>81</v>
      </c>
      <c r="G106" s="1" t="s">
        <v>82</v>
      </c>
      <c r="H106" s="3" t="s">
        <v>108</v>
      </c>
      <c r="I106" s="3">
        <v>0.6</v>
      </c>
      <c r="J106" s="3">
        <v>0.6</v>
      </c>
      <c r="K106">
        <f t="shared" si="2"/>
        <v>1200</v>
      </c>
      <c r="L106" s="3">
        <v>6.75</v>
      </c>
      <c r="M106" s="3">
        <v>2000</v>
      </c>
      <c r="N106" s="3">
        <v>1000</v>
      </c>
      <c r="O106">
        <f t="shared" si="3"/>
        <v>7500</v>
      </c>
    </row>
    <row r="107" spans="1:15">
      <c r="A107" s="1">
        <v>105</v>
      </c>
      <c r="B107" s="1" t="s">
        <v>114</v>
      </c>
      <c r="C107" s="2">
        <v>18</v>
      </c>
      <c r="D107" s="1" t="s">
        <v>107</v>
      </c>
      <c r="E107" s="1" t="s">
        <v>7</v>
      </c>
      <c r="F107" s="1" t="s">
        <v>81</v>
      </c>
      <c r="G107" s="1" t="s">
        <v>84</v>
      </c>
      <c r="H107" s="3" t="s">
        <v>108</v>
      </c>
      <c r="I107" s="3">
        <v>0.6</v>
      </c>
      <c r="J107" s="3">
        <v>0.6</v>
      </c>
      <c r="K107">
        <f t="shared" si="2"/>
        <v>1440</v>
      </c>
      <c r="L107" s="3">
        <v>6.75</v>
      </c>
      <c r="M107" s="3">
        <v>2400</v>
      </c>
      <c r="N107" s="3">
        <v>1200</v>
      </c>
      <c r="O107">
        <f t="shared" si="3"/>
        <v>9000</v>
      </c>
    </row>
    <row r="108" spans="1:15">
      <c r="A108" s="1">
        <v>106</v>
      </c>
      <c r="B108" s="1" t="s">
        <v>114</v>
      </c>
      <c r="C108" s="2">
        <v>18</v>
      </c>
      <c r="D108" s="1" t="s">
        <v>107</v>
      </c>
      <c r="E108" s="1" t="s">
        <v>7</v>
      </c>
      <c r="F108" s="1" t="s">
        <v>81</v>
      </c>
      <c r="G108" s="1" t="s">
        <v>85</v>
      </c>
      <c r="H108" s="3" t="s">
        <v>109</v>
      </c>
      <c r="I108" s="3">
        <v>0.6</v>
      </c>
      <c r="J108" s="3">
        <v>0.6</v>
      </c>
      <c r="K108">
        <f t="shared" si="2"/>
        <v>1320</v>
      </c>
      <c r="L108" s="3">
        <v>8.1</v>
      </c>
      <c r="M108" s="3">
        <v>2200</v>
      </c>
      <c r="N108" s="3">
        <v>1320</v>
      </c>
      <c r="O108">
        <f t="shared" si="3"/>
        <v>9900</v>
      </c>
    </row>
    <row r="109" spans="1:15">
      <c r="A109" s="1">
        <v>107</v>
      </c>
      <c r="B109" s="1" t="s">
        <v>114</v>
      </c>
      <c r="C109" s="2">
        <v>38</v>
      </c>
      <c r="D109" s="1" t="s">
        <v>115</v>
      </c>
      <c r="E109" s="1" t="s">
        <v>5</v>
      </c>
      <c r="F109" s="1" t="s">
        <v>88</v>
      </c>
      <c r="G109" s="1" t="s">
        <v>84</v>
      </c>
      <c r="H109" s="3" t="s">
        <v>116</v>
      </c>
      <c r="I109" s="3">
        <v>0.6</v>
      </c>
      <c r="J109" s="3">
        <v>0.6</v>
      </c>
      <c r="K109">
        <f t="shared" si="2"/>
        <v>3000</v>
      </c>
      <c r="L109" s="3">
        <v>57.5</v>
      </c>
      <c r="M109" s="3">
        <v>5000</v>
      </c>
      <c r="N109" s="3">
        <v>3000</v>
      </c>
      <c r="O109">
        <f t="shared" si="3"/>
        <v>170700</v>
      </c>
    </row>
    <row r="110" spans="1:15">
      <c r="A110" s="1">
        <v>108</v>
      </c>
      <c r="B110" s="1" t="s">
        <v>117</v>
      </c>
      <c r="C110" s="2">
        <v>24</v>
      </c>
      <c r="D110" s="1" t="s">
        <v>118</v>
      </c>
      <c r="E110" s="1" t="s">
        <v>6</v>
      </c>
      <c r="F110" s="1" t="s">
        <v>81</v>
      </c>
      <c r="G110" s="1" t="s">
        <v>82</v>
      </c>
      <c r="H110" s="3" t="s">
        <v>119</v>
      </c>
      <c r="I110" s="3">
        <v>0.6</v>
      </c>
      <c r="J110" s="3">
        <v>0.6</v>
      </c>
      <c r="K110">
        <f t="shared" si="2"/>
        <v>1440</v>
      </c>
      <c r="L110" s="3">
        <v>5.25</v>
      </c>
      <c r="M110" s="3">
        <v>2400</v>
      </c>
      <c r="N110" s="3">
        <v>1600</v>
      </c>
      <c r="O110">
        <f t="shared" si="3"/>
        <v>6600</v>
      </c>
    </row>
    <row r="111" spans="1:15">
      <c r="A111" s="1">
        <v>109</v>
      </c>
      <c r="B111" s="1" t="s">
        <v>117</v>
      </c>
      <c r="C111" s="2">
        <v>24</v>
      </c>
      <c r="D111" s="1" t="s">
        <v>118</v>
      </c>
      <c r="E111" s="1" t="s">
        <v>6</v>
      </c>
      <c r="F111" s="1" t="s">
        <v>81</v>
      </c>
      <c r="G111" s="1" t="s">
        <v>84</v>
      </c>
      <c r="H111" s="3" t="s">
        <v>119</v>
      </c>
      <c r="I111" s="3">
        <v>0.6</v>
      </c>
      <c r="J111" s="3">
        <v>0.6</v>
      </c>
      <c r="K111">
        <f t="shared" si="2"/>
        <v>1800</v>
      </c>
      <c r="L111" s="3">
        <v>5.25</v>
      </c>
      <c r="M111" s="3">
        <v>3000</v>
      </c>
      <c r="N111" s="3">
        <v>2000</v>
      </c>
      <c r="O111">
        <f t="shared" si="3"/>
        <v>8250</v>
      </c>
    </row>
    <row r="112" spans="1:15">
      <c r="A112" s="1">
        <v>110</v>
      </c>
      <c r="B112" s="1" t="s">
        <v>117</v>
      </c>
      <c r="C112" s="2">
        <v>24</v>
      </c>
      <c r="D112" s="1" t="s">
        <v>118</v>
      </c>
      <c r="E112" s="1" t="s">
        <v>6</v>
      </c>
      <c r="F112" s="1" t="s">
        <v>81</v>
      </c>
      <c r="G112" s="1" t="s">
        <v>85</v>
      </c>
      <c r="H112" s="3" t="s">
        <v>120</v>
      </c>
      <c r="I112" s="3">
        <v>0.6</v>
      </c>
      <c r="J112" s="3">
        <v>0.6</v>
      </c>
      <c r="K112">
        <f t="shared" si="2"/>
        <v>1620</v>
      </c>
      <c r="L112" s="3">
        <v>6.8</v>
      </c>
      <c r="M112" s="3">
        <v>2700</v>
      </c>
      <c r="N112" s="3">
        <v>2200</v>
      </c>
      <c r="O112">
        <f t="shared" si="3"/>
        <v>9696</v>
      </c>
    </row>
    <row r="113" spans="1:15">
      <c r="A113" s="1">
        <v>111</v>
      </c>
      <c r="B113" s="1" t="s">
        <v>117</v>
      </c>
      <c r="C113" s="2">
        <v>38</v>
      </c>
      <c r="D113" s="1" t="s">
        <v>115</v>
      </c>
      <c r="E113" s="1" t="s">
        <v>5</v>
      </c>
      <c r="F113" s="1" t="s">
        <v>88</v>
      </c>
      <c r="G113" s="1" t="s">
        <v>84</v>
      </c>
      <c r="H113" s="3" t="s">
        <v>116</v>
      </c>
      <c r="I113" s="3">
        <v>0.6</v>
      </c>
      <c r="J113" s="3">
        <v>0.6</v>
      </c>
      <c r="K113">
        <f t="shared" si="2"/>
        <v>3000</v>
      </c>
      <c r="L113" s="3">
        <v>57.5</v>
      </c>
      <c r="M113" s="3">
        <v>5000</v>
      </c>
      <c r="N113" s="3">
        <v>3000</v>
      </c>
      <c r="O113">
        <f t="shared" si="3"/>
        <v>170700</v>
      </c>
    </row>
    <row r="114" spans="1:15">
      <c r="A114" s="1">
        <v>112</v>
      </c>
      <c r="B114" s="1" t="s">
        <v>121</v>
      </c>
      <c r="C114" s="2">
        <v>25</v>
      </c>
      <c r="D114" s="1" t="s">
        <v>122</v>
      </c>
      <c r="E114" s="1" t="s">
        <v>6</v>
      </c>
      <c r="F114" s="1" t="s">
        <v>81</v>
      </c>
      <c r="G114" s="1" t="s">
        <v>82</v>
      </c>
      <c r="H114" s="3" t="s">
        <v>65</v>
      </c>
      <c r="I114" s="3">
        <v>0.6</v>
      </c>
      <c r="J114" s="3">
        <v>0.6</v>
      </c>
      <c r="K114">
        <f t="shared" si="2"/>
        <v>1980</v>
      </c>
      <c r="L114" s="3">
        <v>5.5</v>
      </c>
      <c r="M114" s="3">
        <v>3300</v>
      </c>
      <c r="N114" s="3">
        <v>2400</v>
      </c>
      <c r="O114">
        <f t="shared" si="3"/>
        <v>9450</v>
      </c>
    </row>
    <row r="115" spans="1:15">
      <c r="A115" s="1">
        <v>113</v>
      </c>
      <c r="B115" s="1" t="s">
        <v>121</v>
      </c>
      <c r="C115" s="2">
        <v>25</v>
      </c>
      <c r="D115" s="1" t="s">
        <v>122</v>
      </c>
      <c r="E115" s="1" t="s">
        <v>6</v>
      </c>
      <c r="F115" s="1" t="s">
        <v>81</v>
      </c>
      <c r="G115" s="1" t="s">
        <v>84</v>
      </c>
      <c r="H115" s="3" t="s">
        <v>65</v>
      </c>
      <c r="I115" s="3">
        <v>0.6</v>
      </c>
      <c r="J115" s="3">
        <v>0.6</v>
      </c>
      <c r="K115">
        <f t="shared" si="2"/>
        <v>2400</v>
      </c>
      <c r="L115" s="3">
        <v>5.5</v>
      </c>
      <c r="M115" s="3">
        <v>4000</v>
      </c>
      <c r="N115" s="3">
        <v>3000</v>
      </c>
      <c r="O115">
        <f t="shared" si="3"/>
        <v>11400</v>
      </c>
    </row>
    <row r="116" spans="1:15">
      <c r="A116" s="1">
        <v>114</v>
      </c>
      <c r="B116" s="1" t="s">
        <v>121</v>
      </c>
      <c r="C116" s="2">
        <v>25</v>
      </c>
      <c r="D116" s="1" t="s">
        <v>122</v>
      </c>
      <c r="E116" s="1" t="s">
        <v>6</v>
      </c>
      <c r="F116" s="1" t="s">
        <v>81</v>
      </c>
      <c r="G116" s="1" t="s">
        <v>85</v>
      </c>
      <c r="H116" s="3" t="s">
        <v>101</v>
      </c>
      <c r="I116" s="3">
        <v>0.6</v>
      </c>
      <c r="J116" s="3">
        <v>0.6</v>
      </c>
      <c r="K116">
        <f t="shared" si="2"/>
        <v>2160</v>
      </c>
      <c r="L116" s="3">
        <v>6.6</v>
      </c>
      <c r="M116" s="3">
        <v>3600</v>
      </c>
      <c r="N116" s="3">
        <v>3300</v>
      </c>
      <c r="O116">
        <f t="shared" si="3"/>
        <v>12276</v>
      </c>
    </row>
    <row r="117" spans="1:15">
      <c r="A117" s="1">
        <v>115</v>
      </c>
      <c r="B117" s="1" t="s">
        <v>121</v>
      </c>
      <c r="C117" s="2">
        <v>38</v>
      </c>
      <c r="D117" s="1" t="s">
        <v>115</v>
      </c>
      <c r="E117" s="1" t="s">
        <v>5</v>
      </c>
      <c r="F117" s="1" t="s">
        <v>88</v>
      </c>
      <c r="G117" s="1" t="s">
        <v>84</v>
      </c>
      <c r="H117" s="3" t="s">
        <v>116</v>
      </c>
      <c r="I117" s="3">
        <v>0.6</v>
      </c>
      <c r="J117" s="3">
        <v>0.6</v>
      </c>
      <c r="K117">
        <f t="shared" si="2"/>
        <v>3000</v>
      </c>
      <c r="L117" s="3">
        <v>57.5</v>
      </c>
      <c r="M117" s="3">
        <v>5000</v>
      </c>
      <c r="N117" s="3">
        <v>3000</v>
      </c>
      <c r="O117">
        <f t="shared" si="3"/>
        <v>170700</v>
      </c>
    </row>
    <row r="118" spans="1:15">
      <c r="A118" s="1">
        <v>116</v>
      </c>
      <c r="B118" s="1" t="s">
        <v>123</v>
      </c>
      <c r="C118" s="2">
        <v>26</v>
      </c>
      <c r="D118" s="1" t="s">
        <v>124</v>
      </c>
      <c r="E118" s="1" t="s">
        <v>6</v>
      </c>
      <c r="F118" s="1" t="s">
        <v>81</v>
      </c>
      <c r="G118" s="1" t="s">
        <v>82</v>
      </c>
      <c r="H118" s="3" t="s">
        <v>125</v>
      </c>
      <c r="I118" s="3">
        <v>0.6</v>
      </c>
      <c r="J118" s="3">
        <v>0.6</v>
      </c>
      <c r="K118">
        <f t="shared" si="2"/>
        <v>2220</v>
      </c>
      <c r="L118" s="3">
        <v>6.5</v>
      </c>
      <c r="M118" s="3">
        <v>3700</v>
      </c>
      <c r="N118" s="3">
        <v>2900</v>
      </c>
      <c r="O118">
        <f t="shared" si="3"/>
        <v>12690</v>
      </c>
    </row>
    <row r="119" spans="1:15">
      <c r="A119" s="1">
        <v>117</v>
      </c>
      <c r="B119" s="1" t="s">
        <v>123</v>
      </c>
      <c r="C119" s="2">
        <v>26</v>
      </c>
      <c r="D119" s="1" t="s">
        <v>124</v>
      </c>
      <c r="E119" s="1" t="s">
        <v>6</v>
      </c>
      <c r="F119" s="1" t="s">
        <v>81</v>
      </c>
      <c r="G119" s="1" t="s">
        <v>84</v>
      </c>
      <c r="H119" s="3" t="s">
        <v>125</v>
      </c>
      <c r="I119" s="3">
        <v>0.6</v>
      </c>
      <c r="J119" s="3">
        <v>0.6</v>
      </c>
      <c r="K119">
        <f t="shared" si="2"/>
        <v>2700</v>
      </c>
      <c r="L119" s="3">
        <v>6.5</v>
      </c>
      <c r="M119" s="3">
        <v>4500</v>
      </c>
      <c r="N119" s="3">
        <v>3500</v>
      </c>
      <c r="O119">
        <f t="shared" si="3"/>
        <v>15450</v>
      </c>
    </row>
    <row r="120" spans="1:15">
      <c r="A120" s="1">
        <v>118</v>
      </c>
      <c r="B120" s="1" t="s">
        <v>123</v>
      </c>
      <c r="C120" s="2">
        <v>26</v>
      </c>
      <c r="D120" s="1" t="s">
        <v>124</v>
      </c>
      <c r="E120" s="1" t="s">
        <v>6</v>
      </c>
      <c r="F120" s="1" t="s">
        <v>81</v>
      </c>
      <c r="G120" s="1" t="s">
        <v>85</v>
      </c>
      <c r="H120" s="3" t="s">
        <v>126</v>
      </c>
      <c r="I120" s="3">
        <v>0.6</v>
      </c>
      <c r="J120" s="3">
        <v>0.6</v>
      </c>
      <c r="K120">
        <f t="shared" si="2"/>
        <v>2460</v>
      </c>
      <c r="L120" s="3">
        <v>7.8</v>
      </c>
      <c r="M120" s="3">
        <v>4100</v>
      </c>
      <c r="N120" s="3">
        <v>3850</v>
      </c>
      <c r="O120">
        <f t="shared" si="3"/>
        <v>16878</v>
      </c>
    </row>
    <row r="121" spans="1:15">
      <c r="A121" s="1">
        <v>119</v>
      </c>
      <c r="B121" s="1" t="s">
        <v>123</v>
      </c>
      <c r="C121" s="2">
        <v>39</v>
      </c>
      <c r="D121" s="1" t="s">
        <v>127</v>
      </c>
      <c r="E121" s="1" t="s">
        <v>5</v>
      </c>
      <c r="F121" s="1" t="s">
        <v>88</v>
      </c>
      <c r="G121" s="1" t="s">
        <v>84</v>
      </c>
      <c r="H121" s="3" t="s">
        <v>128</v>
      </c>
      <c r="I121" s="3">
        <v>0.6</v>
      </c>
      <c r="J121" s="3">
        <v>0.6</v>
      </c>
      <c r="K121">
        <f t="shared" si="2"/>
        <v>2400</v>
      </c>
      <c r="L121" s="3">
        <v>19</v>
      </c>
      <c r="M121" s="3">
        <v>4000</v>
      </c>
      <c r="N121" s="3">
        <v>2000</v>
      </c>
      <c r="O121">
        <f t="shared" si="3"/>
        <v>44400</v>
      </c>
    </row>
    <row r="122" spans="1:15">
      <c r="A122" s="1">
        <v>120</v>
      </c>
      <c r="B122" s="1" t="s">
        <v>129</v>
      </c>
      <c r="C122" s="2">
        <v>28</v>
      </c>
      <c r="D122" s="1" t="s">
        <v>91</v>
      </c>
      <c r="E122" s="1" t="s">
        <v>6</v>
      </c>
      <c r="F122" s="1" t="s">
        <v>81</v>
      </c>
      <c r="G122" s="1" t="s">
        <v>82</v>
      </c>
      <c r="H122" s="3" t="s">
        <v>92</v>
      </c>
      <c r="I122" s="3">
        <v>0.6</v>
      </c>
      <c r="J122" s="3">
        <v>0.6</v>
      </c>
      <c r="K122">
        <f t="shared" si="2"/>
        <v>1920</v>
      </c>
      <c r="L122" s="3">
        <v>5.75</v>
      </c>
      <c r="M122" s="3">
        <v>3200</v>
      </c>
      <c r="N122" s="3">
        <v>1600</v>
      </c>
      <c r="O122">
        <f t="shared" si="3"/>
        <v>10080</v>
      </c>
    </row>
    <row r="123" spans="1:15">
      <c r="A123" s="1">
        <v>121</v>
      </c>
      <c r="B123" s="1" t="s">
        <v>129</v>
      </c>
      <c r="C123" s="2">
        <v>28</v>
      </c>
      <c r="D123" s="1" t="s">
        <v>91</v>
      </c>
      <c r="E123" s="1" t="s">
        <v>6</v>
      </c>
      <c r="F123" s="1" t="s">
        <v>81</v>
      </c>
      <c r="G123" s="1" t="s">
        <v>84</v>
      </c>
      <c r="H123" s="3" t="s">
        <v>92</v>
      </c>
      <c r="I123" s="3">
        <v>0.6</v>
      </c>
      <c r="J123" s="3">
        <v>0.6</v>
      </c>
      <c r="K123">
        <f t="shared" si="2"/>
        <v>2400</v>
      </c>
      <c r="L123" s="3">
        <v>5.75</v>
      </c>
      <c r="M123" s="3">
        <v>4000</v>
      </c>
      <c r="N123" s="3">
        <v>2000</v>
      </c>
      <c r="O123">
        <f t="shared" si="3"/>
        <v>12600</v>
      </c>
    </row>
    <row r="124" spans="1:15">
      <c r="A124" s="1">
        <v>122</v>
      </c>
      <c r="B124" s="1" t="s">
        <v>129</v>
      </c>
      <c r="C124" s="2">
        <v>28</v>
      </c>
      <c r="D124" s="1" t="s">
        <v>91</v>
      </c>
      <c r="E124" s="1" t="s">
        <v>6</v>
      </c>
      <c r="F124" s="1" t="s">
        <v>81</v>
      </c>
      <c r="G124" s="1" t="s">
        <v>85</v>
      </c>
      <c r="H124" s="3" t="s">
        <v>93</v>
      </c>
      <c r="I124" s="3">
        <v>0.6</v>
      </c>
      <c r="J124" s="3">
        <v>0.6</v>
      </c>
      <c r="K124">
        <f t="shared" si="2"/>
        <v>2160</v>
      </c>
      <c r="L124" s="3">
        <v>6.9</v>
      </c>
      <c r="M124" s="3">
        <v>3600</v>
      </c>
      <c r="N124" s="3">
        <v>2200</v>
      </c>
      <c r="O124">
        <f t="shared" si="3"/>
        <v>13584</v>
      </c>
    </row>
    <row r="125" spans="1:15">
      <c r="A125" s="1">
        <v>123</v>
      </c>
      <c r="B125" s="1" t="s">
        <v>129</v>
      </c>
      <c r="C125" s="2">
        <v>39</v>
      </c>
      <c r="D125" s="1" t="s">
        <v>127</v>
      </c>
      <c r="E125" s="1" t="s">
        <v>5</v>
      </c>
      <c r="F125" s="1" t="s">
        <v>88</v>
      </c>
      <c r="G125" s="1" t="s">
        <v>84</v>
      </c>
      <c r="H125" s="3" t="s">
        <v>128</v>
      </c>
      <c r="I125" s="3">
        <v>0.6</v>
      </c>
      <c r="J125" s="3">
        <v>0.6</v>
      </c>
      <c r="K125">
        <f t="shared" si="2"/>
        <v>2400</v>
      </c>
      <c r="L125" s="3">
        <v>19</v>
      </c>
      <c r="M125" s="3">
        <v>4000</v>
      </c>
      <c r="N125" s="3">
        <v>2000</v>
      </c>
      <c r="O125">
        <f t="shared" si="3"/>
        <v>44400</v>
      </c>
    </row>
    <row r="126" spans="1:15">
      <c r="A126" s="1">
        <v>124</v>
      </c>
      <c r="B126" s="1" t="s">
        <v>130</v>
      </c>
      <c r="C126" s="2">
        <v>27</v>
      </c>
      <c r="D126" s="1" t="s">
        <v>131</v>
      </c>
      <c r="E126" s="1" t="s">
        <v>6</v>
      </c>
      <c r="F126" s="1" t="s">
        <v>81</v>
      </c>
      <c r="G126" s="1" t="s">
        <v>82</v>
      </c>
      <c r="H126" s="3" t="s">
        <v>132</v>
      </c>
      <c r="I126" s="3">
        <v>0.6</v>
      </c>
      <c r="J126" s="3">
        <v>0.6</v>
      </c>
      <c r="K126">
        <f t="shared" si="2"/>
        <v>2460</v>
      </c>
      <c r="L126" s="3">
        <v>5</v>
      </c>
      <c r="M126" s="3">
        <v>4100</v>
      </c>
      <c r="N126" s="3">
        <v>1600</v>
      </c>
      <c r="O126">
        <f t="shared" si="3"/>
        <v>11340</v>
      </c>
    </row>
    <row r="127" spans="1:15">
      <c r="A127" s="1">
        <v>125</v>
      </c>
      <c r="B127" s="1" t="s">
        <v>130</v>
      </c>
      <c r="C127" s="2">
        <v>27</v>
      </c>
      <c r="D127" s="1" t="s">
        <v>131</v>
      </c>
      <c r="E127" s="1" t="s">
        <v>6</v>
      </c>
      <c r="F127" s="1" t="s">
        <v>81</v>
      </c>
      <c r="G127" s="1" t="s">
        <v>84</v>
      </c>
      <c r="H127" s="3" t="s">
        <v>132</v>
      </c>
      <c r="I127" s="3">
        <v>0.6</v>
      </c>
      <c r="J127" s="3">
        <v>0.6</v>
      </c>
      <c r="K127">
        <f t="shared" si="2"/>
        <v>3000</v>
      </c>
      <c r="L127" s="3">
        <v>5</v>
      </c>
      <c r="M127" s="3">
        <v>5000</v>
      </c>
      <c r="N127" s="3">
        <v>2000</v>
      </c>
      <c r="O127">
        <f t="shared" si="3"/>
        <v>13800</v>
      </c>
    </row>
    <row r="128" spans="1:15">
      <c r="A128" s="1">
        <v>126</v>
      </c>
      <c r="B128" s="1" t="s">
        <v>130</v>
      </c>
      <c r="C128" s="2">
        <v>27</v>
      </c>
      <c r="D128" s="1" t="s">
        <v>131</v>
      </c>
      <c r="E128" s="1" t="s">
        <v>6</v>
      </c>
      <c r="F128" s="1" t="s">
        <v>81</v>
      </c>
      <c r="G128" s="1" t="s">
        <v>85</v>
      </c>
      <c r="H128" s="3" t="s">
        <v>133</v>
      </c>
      <c r="I128" s="3">
        <v>0.6</v>
      </c>
      <c r="J128" s="3">
        <v>0.6</v>
      </c>
      <c r="K128">
        <f t="shared" si="2"/>
        <v>2700</v>
      </c>
      <c r="L128" s="3">
        <v>6</v>
      </c>
      <c r="M128" s="3">
        <v>4500</v>
      </c>
      <c r="N128" s="3">
        <v>2200</v>
      </c>
      <c r="O128">
        <f t="shared" si="3"/>
        <v>14880</v>
      </c>
    </row>
    <row r="129" spans="1:15">
      <c r="A129" s="1">
        <v>127</v>
      </c>
      <c r="B129" s="1" t="s">
        <v>130</v>
      </c>
      <c r="C129" s="2">
        <v>39</v>
      </c>
      <c r="D129" s="1" t="s">
        <v>127</v>
      </c>
      <c r="E129" s="1" t="s">
        <v>5</v>
      </c>
      <c r="F129" s="1" t="s">
        <v>88</v>
      </c>
      <c r="G129" s="1" t="s">
        <v>84</v>
      </c>
      <c r="H129" s="3" t="s">
        <v>128</v>
      </c>
      <c r="I129" s="3">
        <v>0.6</v>
      </c>
      <c r="J129" s="3">
        <v>0.6</v>
      </c>
      <c r="K129">
        <f t="shared" si="2"/>
        <v>2400</v>
      </c>
      <c r="L129" s="3">
        <v>19</v>
      </c>
      <c r="M129" s="3">
        <v>4000</v>
      </c>
      <c r="N129" s="3">
        <v>2000</v>
      </c>
      <c r="O129">
        <f t="shared" si="3"/>
        <v>44400</v>
      </c>
    </row>
    <row r="130" spans="1:15">
      <c r="A130" s="1">
        <v>128</v>
      </c>
      <c r="B130" s="1" t="s">
        <v>134</v>
      </c>
      <c r="C130" s="2">
        <v>19</v>
      </c>
      <c r="D130" s="1" t="s">
        <v>135</v>
      </c>
      <c r="E130" s="1" t="s">
        <v>7</v>
      </c>
      <c r="F130" s="1" t="s">
        <v>81</v>
      </c>
      <c r="G130" s="1" t="s">
        <v>82</v>
      </c>
      <c r="H130" s="3" t="s">
        <v>136</v>
      </c>
      <c r="I130" s="3">
        <v>0.6</v>
      </c>
      <c r="J130" s="3">
        <v>0.6</v>
      </c>
      <c r="K130">
        <f t="shared" si="2"/>
        <v>1800</v>
      </c>
      <c r="L130" s="3">
        <v>6.5</v>
      </c>
      <c r="M130" s="3">
        <v>3000</v>
      </c>
      <c r="N130" s="3">
        <v>2000</v>
      </c>
      <c r="O130">
        <f t="shared" si="3"/>
        <v>10500</v>
      </c>
    </row>
    <row r="131" spans="1:15">
      <c r="A131" s="1">
        <v>129</v>
      </c>
      <c r="B131" s="1" t="s">
        <v>134</v>
      </c>
      <c r="C131" s="2">
        <v>19</v>
      </c>
      <c r="D131" s="1" t="s">
        <v>135</v>
      </c>
      <c r="E131" s="1" t="s">
        <v>7</v>
      </c>
      <c r="F131" s="1" t="s">
        <v>81</v>
      </c>
      <c r="G131" s="1" t="s">
        <v>84</v>
      </c>
      <c r="H131" s="3" t="s">
        <v>136</v>
      </c>
      <c r="I131" s="3">
        <v>0.6</v>
      </c>
      <c r="J131" s="3">
        <v>0.6</v>
      </c>
      <c r="K131">
        <f t="shared" ref="K131:K194" si="4">M131*I131</f>
        <v>2160</v>
      </c>
      <c r="L131" s="3">
        <v>6.5</v>
      </c>
      <c r="M131" s="3">
        <v>3600</v>
      </c>
      <c r="N131" s="3">
        <v>2400</v>
      </c>
      <c r="O131">
        <f t="shared" ref="O131:O194" si="5">K131*L131-J131*N131</f>
        <v>12600</v>
      </c>
    </row>
    <row r="132" spans="1:15">
      <c r="A132" s="1">
        <v>130</v>
      </c>
      <c r="B132" s="1" t="s">
        <v>134</v>
      </c>
      <c r="C132" s="2">
        <v>19</v>
      </c>
      <c r="D132" s="1" t="s">
        <v>135</v>
      </c>
      <c r="E132" s="1" t="s">
        <v>7</v>
      </c>
      <c r="F132" s="1" t="s">
        <v>81</v>
      </c>
      <c r="G132" s="1" t="s">
        <v>85</v>
      </c>
      <c r="H132" s="3" t="s">
        <v>137</v>
      </c>
      <c r="I132" s="3">
        <v>0.6</v>
      </c>
      <c r="J132" s="3">
        <v>0.6</v>
      </c>
      <c r="K132">
        <f t="shared" si="4"/>
        <v>1920</v>
      </c>
      <c r="L132" s="3">
        <v>7.8</v>
      </c>
      <c r="M132" s="3">
        <v>3200</v>
      </c>
      <c r="N132" s="3">
        <v>2640</v>
      </c>
      <c r="O132">
        <f t="shared" si="5"/>
        <v>13392</v>
      </c>
    </row>
    <row r="133" spans="1:15">
      <c r="A133" s="1">
        <v>131</v>
      </c>
      <c r="B133" s="1" t="s">
        <v>134</v>
      </c>
      <c r="C133" s="2">
        <v>40</v>
      </c>
      <c r="D133" s="1" t="s">
        <v>138</v>
      </c>
      <c r="E133" s="1" t="s">
        <v>5</v>
      </c>
      <c r="F133" s="1" t="s">
        <v>88</v>
      </c>
      <c r="G133" s="1" t="s">
        <v>84</v>
      </c>
      <c r="H133" s="3" t="s">
        <v>139</v>
      </c>
      <c r="I133" s="3">
        <v>0.6</v>
      </c>
      <c r="J133" s="3">
        <v>0.6</v>
      </c>
      <c r="K133">
        <f t="shared" si="4"/>
        <v>6000</v>
      </c>
      <c r="L133" s="3">
        <v>16</v>
      </c>
      <c r="M133" s="3">
        <v>10000</v>
      </c>
      <c r="N133" s="3">
        <v>10000</v>
      </c>
      <c r="O133">
        <f t="shared" si="5"/>
        <v>90000</v>
      </c>
    </row>
    <row r="134" spans="1:15">
      <c r="A134" s="1">
        <v>132</v>
      </c>
      <c r="B134" s="1" t="s">
        <v>140</v>
      </c>
      <c r="C134" s="2">
        <v>19</v>
      </c>
      <c r="D134" s="1" t="s">
        <v>135</v>
      </c>
      <c r="E134" s="1" t="s">
        <v>7</v>
      </c>
      <c r="F134" s="1" t="s">
        <v>81</v>
      </c>
      <c r="G134" s="1" t="s">
        <v>82</v>
      </c>
      <c r="H134" s="3" t="s">
        <v>136</v>
      </c>
      <c r="I134" s="3">
        <v>0.6</v>
      </c>
      <c r="J134" s="3">
        <v>0.6</v>
      </c>
      <c r="K134">
        <f t="shared" si="4"/>
        <v>1800</v>
      </c>
      <c r="L134" s="3">
        <v>6.5</v>
      </c>
      <c r="M134" s="3">
        <v>3000</v>
      </c>
      <c r="N134" s="3">
        <v>2000</v>
      </c>
      <c r="O134">
        <f t="shared" si="5"/>
        <v>10500</v>
      </c>
    </row>
    <row r="135" spans="1:15">
      <c r="A135" s="1">
        <v>133</v>
      </c>
      <c r="B135" s="1" t="s">
        <v>140</v>
      </c>
      <c r="C135" s="2">
        <v>19</v>
      </c>
      <c r="D135" s="1" t="s">
        <v>135</v>
      </c>
      <c r="E135" s="1" t="s">
        <v>7</v>
      </c>
      <c r="F135" s="1" t="s">
        <v>81</v>
      </c>
      <c r="G135" s="1" t="s">
        <v>84</v>
      </c>
      <c r="H135" s="3" t="s">
        <v>136</v>
      </c>
      <c r="I135" s="3">
        <v>0.6</v>
      </c>
      <c r="J135" s="3">
        <v>0.6</v>
      </c>
      <c r="K135">
        <f t="shared" si="4"/>
        <v>2160</v>
      </c>
      <c r="L135" s="3">
        <v>6.5</v>
      </c>
      <c r="M135" s="3">
        <v>3600</v>
      </c>
      <c r="N135" s="3">
        <v>2400</v>
      </c>
      <c r="O135">
        <f t="shared" si="5"/>
        <v>12600</v>
      </c>
    </row>
    <row r="136" spans="1:15">
      <c r="A136" s="1">
        <v>134</v>
      </c>
      <c r="B136" s="1" t="s">
        <v>140</v>
      </c>
      <c r="C136" s="2">
        <v>19</v>
      </c>
      <c r="D136" s="1" t="s">
        <v>135</v>
      </c>
      <c r="E136" s="1" t="s">
        <v>7</v>
      </c>
      <c r="F136" s="1" t="s">
        <v>81</v>
      </c>
      <c r="G136" s="1" t="s">
        <v>85</v>
      </c>
      <c r="H136" s="3" t="s">
        <v>137</v>
      </c>
      <c r="I136" s="3">
        <v>0.6</v>
      </c>
      <c r="J136" s="3">
        <v>0.6</v>
      </c>
      <c r="K136">
        <f t="shared" si="4"/>
        <v>1920</v>
      </c>
      <c r="L136" s="3">
        <v>7.8</v>
      </c>
      <c r="M136" s="3">
        <v>3200</v>
      </c>
      <c r="N136" s="3">
        <v>2640</v>
      </c>
      <c r="O136">
        <f t="shared" si="5"/>
        <v>13392</v>
      </c>
    </row>
    <row r="137" spans="1:15">
      <c r="A137" s="1">
        <v>135</v>
      </c>
      <c r="B137" s="1" t="s">
        <v>140</v>
      </c>
      <c r="C137" s="2">
        <v>40</v>
      </c>
      <c r="D137" s="1" t="s">
        <v>138</v>
      </c>
      <c r="E137" s="1" t="s">
        <v>5</v>
      </c>
      <c r="F137" s="1" t="s">
        <v>88</v>
      </c>
      <c r="G137" s="1" t="s">
        <v>84</v>
      </c>
      <c r="H137" s="3" t="s">
        <v>139</v>
      </c>
      <c r="I137" s="3">
        <v>0.6</v>
      </c>
      <c r="J137" s="3">
        <v>0.6</v>
      </c>
      <c r="K137">
        <f t="shared" si="4"/>
        <v>6000</v>
      </c>
      <c r="L137" s="3">
        <v>16</v>
      </c>
      <c r="M137" s="3">
        <v>10000</v>
      </c>
      <c r="N137" s="3">
        <v>10000</v>
      </c>
      <c r="O137">
        <f t="shared" si="5"/>
        <v>90000</v>
      </c>
    </row>
    <row r="138" spans="1:15">
      <c r="A138" s="1">
        <v>136</v>
      </c>
      <c r="B138" s="1" t="s">
        <v>141</v>
      </c>
      <c r="C138" s="2">
        <v>18</v>
      </c>
      <c r="D138" s="1" t="s">
        <v>107</v>
      </c>
      <c r="E138" s="1" t="s">
        <v>7</v>
      </c>
      <c r="F138" s="1" t="s">
        <v>81</v>
      </c>
      <c r="G138" s="1" t="s">
        <v>82</v>
      </c>
      <c r="H138" s="3" t="s">
        <v>108</v>
      </c>
      <c r="I138" s="3">
        <v>0.6</v>
      </c>
      <c r="J138" s="3">
        <v>0.6</v>
      </c>
      <c r="K138">
        <f t="shared" si="4"/>
        <v>1200</v>
      </c>
      <c r="L138" s="3">
        <v>6.75</v>
      </c>
      <c r="M138" s="3">
        <v>2000</v>
      </c>
      <c r="N138" s="3">
        <v>1000</v>
      </c>
      <c r="O138">
        <f t="shared" si="5"/>
        <v>7500</v>
      </c>
    </row>
    <row r="139" spans="1:15">
      <c r="A139" s="1">
        <v>137</v>
      </c>
      <c r="B139" s="1" t="s">
        <v>141</v>
      </c>
      <c r="C139" s="2">
        <v>18</v>
      </c>
      <c r="D139" s="1" t="s">
        <v>107</v>
      </c>
      <c r="E139" s="1" t="s">
        <v>7</v>
      </c>
      <c r="F139" s="1" t="s">
        <v>81</v>
      </c>
      <c r="G139" s="1" t="s">
        <v>84</v>
      </c>
      <c r="H139" s="3" t="s">
        <v>108</v>
      </c>
      <c r="I139" s="3">
        <v>0.6</v>
      </c>
      <c r="J139" s="3">
        <v>0.6</v>
      </c>
      <c r="K139">
        <f t="shared" si="4"/>
        <v>1440</v>
      </c>
      <c r="L139" s="3">
        <v>6.75</v>
      </c>
      <c r="M139" s="3">
        <v>2400</v>
      </c>
      <c r="N139" s="3">
        <v>1200</v>
      </c>
      <c r="O139">
        <f t="shared" si="5"/>
        <v>9000</v>
      </c>
    </row>
    <row r="140" spans="1:15">
      <c r="A140" s="1">
        <v>138</v>
      </c>
      <c r="B140" s="1" t="s">
        <v>141</v>
      </c>
      <c r="C140" s="2">
        <v>18</v>
      </c>
      <c r="D140" s="1" t="s">
        <v>107</v>
      </c>
      <c r="E140" s="1" t="s">
        <v>7</v>
      </c>
      <c r="F140" s="1" t="s">
        <v>81</v>
      </c>
      <c r="G140" s="1" t="s">
        <v>85</v>
      </c>
      <c r="H140" s="3" t="s">
        <v>109</v>
      </c>
      <c r="I140" s="3">
        <v>0.6</v>
      </c>
      <c r="J140" s="3">
        <v>0.6</v>
      </c>
      <c r="K140">
        <f t="shared" si="4"/>
        <v>1320</v>
      </c>
      <c r="L140" s="3">
        <v>8.1</v>
      </c>
      <c r="M140" s="3">
        <v>2200</v>
      </c>
      <c r="N140" s="3">
        <v>1320</v>
      </c>
      <c r="O140">
        <f t="shared" si="5"/>
        <v>9900</v>
      </c>
    </row>
    <row r="141" spans="1:15">
      <c r="A141" s="1">
        <v>139</v>
      </c>
      <c r="B141" s="1" t="s">
        <v>141</v>
      </c>
      <c r="C141" s="2">
        <v>40</v>
      </c>
      <c r="D141" s="1" t="s">
        <v>138</v>
      </c>
      <c r="E141" s="1" t="s">
        <v>5</v>
      </c>
      <c r="F141" s="1" t="s">
        <v>88</v>
      </c>
      <c r="G141" s="1" t="s">
        <v>84</v>
      </c>
      <c r="H141" s="3" t="s">
        <v>139</v>
      </c>
      <c r="I141" s="3">
        <v>0.6</v>
      </c>
      <c r="J141" s="3">
        <v>0.6</v>
      </c>
      <c r="K141">
        <f t="shared" si="4"/>
        <v>6000</v>
      </c>
      <c r="L141" s="3">
        <v>16</v>
      </c>
      <c r="M141" s="3">
        <v>10000</v>
      </c>
      <c r="N141" s="3">
        <v>10000</v>
      </c>
      <c r="O141">
        <f t="shared" si="5"/>
        <v>90000</v>
      </c>
    </row>
    <row r="142" spans="1:15">
      <c r="A142" s="1">
        <v>140</v>
      </c>
      <c r="B142" s="1" t="s">
        <v>142</v>
      </c>
      <c r="C142" s="2">
        <v>17</v>
      </c>
      <c r="D142" s="1" t="s">
        <v>103</v>
      </c>
      <c r="E142" s="1" t="s">
        <v>7</v>
      </c>
      <c r="F142" s="1" t="s">
        <v>81</v>
      </c>
      <c r="G142" s="1" t="s">
        <v>82</v>
      </c>
      <c r="H142" s="3" t="s">
        <v>104</v>
      </c>
      <c r="I142" s="3">
        <v>0.6</v>
      </c>
      <c r="J142" s="3">
        <v>0.6</v>
      </c>
      <c r="K142">
        <f t="shared" si="4"/>
        <v>1800</v>
      </c>
      <c r="L142" s="3">
        <v>8</v>
      </c>
      <c r="M142" s="3">
        <v>3000</v>
      </c>
      <c r="N142" s="3">
        <v>2000</v>
      </c>
      <c r="O142">
        <f t="shared" si="5"/>
        <v>13200</v>
      </c>
    </row>
    <row r="143" spans="1:15">
      <c r="A143" s="1">
        <v>141</v>
      </c>
      <c r="B143" s="1" t="s">
        <v>142</v>
      </c>
      <c r="C143" s="2">
        <v>17</v>
      </c>
      <c r="D143" s="1" t="s">
        <v>103</v>
      </c>
      <c r="E143" s="1" t="s">
        <v>7</v>
      </c>
      <c r="F143" s="1" t="s">
        <v>81</v>
      </c>
      <c r="G143" s="1" t="s">
        <v>84</v>
      </c>
      <c r="H143" s="3" t="s">
        <v>104</v>
      </c>
      <c r="I143" s="3">
        <v>0.6</v>
      </c>
      <c r="J143" s="3">
        <v>0.6</v>
      </c>
      <c r="K143">
        <f t="shared" si="4"/>
        <v>2160</v>
      </c>
      <c r="L143" s="3">
        <v>8</v>
      </c>
      <c r="M143" s="3">
        <v>3600</v>
      </c>
      <c r="N143" s="3">
        <v>2400</v>
      </c>
      <c r="O143">
        <f t="shared" si="5"/>
        <v>15840</v>
      </c>
    </row>
    <row r="144" spans="1:15">
      <c r="A144" s="1">
        <v>142</v>
      </c>
      <c r="B144" s="1" t="s">
        <v>142</v>
      </c>
      <c r="C144" s="2">
        <v>17</v>
      </c>
      <c r="D144" s="1" t="s">
        <v>103</v>
      </c>
      <c r="E144" s="1" t="s">
        <v>7</v>
      </c>
      <c r="F144" s="1" t="s">
        <v>81</v>
      </c>
      <c r="G144" s="1" t="s">
        <v>85</v>
      </c>
      <c r="H144" s="3" t="s">
        <v>105</v>
      </c>
      <c r="I144" s="3">
        <v>0.6</v>
      </c>
      <c r="J144" s="3">
        <v>0.6</v>
      </c>
      <c r="K144">
        <f t="shared" si="4"/>
        <v>1920</v>
      </c>
      <c r="L144" s="3">
        <v>9.6</v>
      </c>
      <c r="M144" s="3">
        <v>3200</v>
      </c>
      <c r="N144" s="3">
        <v>2640</v>
      </c>
      <c r="O144">
        <f t="shared" si="5"/>
        <v>16848</v>
      </c>
    </row>
    <row r="145" spans="1:15">
      <c r="A145" s="1">
        <v>143</v>
      </c>
      <c r="B145" s="1" t="s">
        <v>142</v>
      </c>
      <c r="C145" s="2">
        <v>41</v>
      </c>
      <c r="D145" s="1" t="s">
        <v>143</v>
      </c>
      <c r="E145" s="1" t="s">
        <v>5</v>
      </c>
      <c r="F145" s="1" t="s">
        <v>88</v>
      </c>
      <c r="G145" s="1" t="s">
        <v>84</v>
      </c>
      <c r="H145" s="3" t="s">
        <v>144</v>
      </c>
      <c r="I145" s="3">
        <v>0.6</v>
      </c>
      <c r="J145" s="3">
        <v>0.6</v>
      </c>
      <c r="K145">
        <f t="shared" si="4"/>
        <v>600</v>
      </c>
      <c r="L145" s="3">
        <v>100</v>
      </c>
      <c r="M145" s="3">
        <v>1000</v>
      </c>
      <c r="N145" s="3">
        <v>10000</v>
      </c>
      <c r="O145">
        <f t="shared" si="5"/>
        <v>54000</v>
      </c>
    </row>
    <row r="146" spans="1:15">
      <c r="A146" s="1">
        <v>144</v>
      </c>
      <c r="B146" s="1" t="s">
        <v>145</v>
      </c>
      <c r="C146" s="2">
        <v>17</v>
      </c>
      <c r="D146" s="1" t="s">
        <v>103</v>
      </c>
      <c r="E146" s="1" t="s">
        <v>7</v>
      </c>
      <c r="F146" s="1" t="s">
        <v>81</v>
      </c>
      <c r="G146" s="1" t="s">
        <v>82</v>
      </c>
      <c r="H146" s="3" t="s">
        <v>104</v>
      </c>
      <c r="I146" s="3">
        <v>0.6</v>
      </c>
      <c r="J146" s="3">
        <v>0.6</v>
      </c>
      <c r="K146">
        <f t="shared" si="4"/>
        <v>1800</v>
      </c>
      <c r="L146" s="3">
        <v>8</v>
      </c>
      <c r="M146" s="3">
        <v>3000</v>
      </c>
      <c r="N146" s="3">
        <v>2000</v>
      </c>
      <c r="O146">
        <f t="shared" si="5"/>
        <v>13200</v>
      </c>
    </row>
    <row r="147" spans="1:15">
      <c r="A147" s="1">
        <v>145</v>
      </c>
      <c r="B147" s="1" t="s">
        <v>145</v>
      </c>
      <c r="C147" s="2">
        <v>17</v>
      </c>
      <c r="D147" s="1" t="s">
        <v>103</v>
      </c>
      <c r="E147" s="1" t="s">
        <v>7</v>
      </c>
      <c r="F147" s="1" t="s">
        <v>81</v>
      </c>
      <c r="G147" s="1" t="s">
        <v>84</v>
      </c>
      <c r="H147" s="3" t="s">
        <v>104</v>
      </c>
      <c r="I147" s="3">
        <v>0.6</v>
      </c>
      <c r="J147" s="3">
        <v>0.6</v>
      </c>
      <c r="K147">
        <f t="shared" si="4"/>
        <v>2160</v>
      </c>
      <c r="L147" s="3">
        <v>8</v>
      </c>
      <c r="M147" s="3">
        <v>3600</v>
      </c>
      <c r="N147" s="3">
        <v>2400</v>
      </c>
      <c r="O147">
        <f t="shared" si="5"/>
        <v>15840</v>
      </c>
    </row>
    <row r="148" spans="1:15">
      <c r="A148" s="1">
        <v>146</v>
      </c>
      <c r="B148" s="1" t="s">
        <v>145</v>
      </c>
      <c r="C148" s="2">
        <v>17</v>
      </c>
      <c r="D148" s="1" t="s">
        <v>103</v>
      </c>
      <c r="E148" s="1" t="s">
        <v>7</v>
      </c>
      <c r="F148" s="1" t="s">
        <v>81</v>
      </c>
      <c r="G148" s="1" t="s">
        <v>85</v>
      </c>
      <c r="H148" s="3" t="s">
        <v>105</v>
      </c>
      <c r="I148" s="3">
        <v>0.6</v>
      </c>
      <c r="J148" s="3">
        <v>0.6</v>
      </c>
      <c r="K148">
        <f t="shared" si="4"/>
        <v>1920</v>
      </c>
      <c r="L148" s="3">
        <v>9.6</v>
      </c>
      <c r="M148" s="3">
        <v>3200</v>
      </c>
      <c r="N148" s="3">
        <v>2640</v>
      </c>
      <c r="O148">
        <f t="shared" si="5"/>
        <v>16848</v>
      </c>
    </row>
    <row r="149" spans="1:15">
      <c r="A149" s="1">
        <v>147</v>
      </c>
      <c r="B149" s="1" t="s">
        <v>145</v>
      </c>
      <c r="C149" s="2">
        <v>41</v>
      </c>
      <c r="D149" s="1" t="s">
        <v>143</v>
      </c>
      <c r="E149" s="1" t="s">
        <v>5</v>
      </c>
      <c r="F149" s="1" t="s">
        <v>88</v>
      </c>
      <c r="G149" s="1" t="s">
        <v>84</v>
      </c>
      <c r="H149" s="3" t="s">
        <v>144</v>
      </c>
      <c r="I149" s="3">
        <v>0.6</v>
      </c>
      <c r="J149" s="3">
        <v>0.6</v>
      </c>
      <c r="K149">
        <f t="shared" si="4"/>
        <v>600</v>
      </c>
      <c r="L149" s="3">
        <v>100</v>
      </c>
      <c r="M149" s="3">
        <v>1000</v>
      </c>
      <c r="N149" s="3">
        <v>10000</v>
      </c>
      <c r="O149">
        <f t="shared" si="5"/>
        <v>54000</v>
      </c>
    </row>
    <row r="150" spans="1:15">
      <c r="A150" s="1">
        <v>148</v>
      </c>
      <c r="B150" s="1" t="s">
        <v>146</v>
      </c>
      <c r="C150" s="2">
        <v>22</v>
      </c>
      <c r="D150" s="1" t="s">
        <v>100</v>
      </c>
      <c r="E150" s="1" t="s">
        <v>6</v>
      </c>
      <c r="F150" s="1" t="s">
        <v>81</v>
      </c>
      <c r="G150" s="1" t="s">
        <v>82</v>
      </c>
      <c r="H150" s="3" t="s">
        <v>65</v>
      </c>
      <c r="I150" s="3">
        <v>0.6</v>
      </c>
      <c r="J150" s="3">
        <v>0.6</v>
      </c>
      <c r="K150">
        <f t="shared" si="4"/>
        <v>3840</v>
      </c>
      <c r="L150" s="3">
        <v>5.5</v>
      </c>
      <c r="M150" s="3">
        <v>6400</v>
      </c>
      <c r="N150" s="3">
        <v>2000</v>
      </c>
      <c r="O150">
        <f t="shared" si="5"/>
        <v>19920</v>
      </c>
    </row>
    <row r="151" spans="1:15">
      <c r="A151" s="1">
        <v>149</v>
      </c>
      <c r="B151" s="1" t="s">
        <v>146</v>
      </c>
      <c r="C151" s="2">
        <v>22</v>
      </c>
      <c r="D151" s="1" t="s">
        <v>100</v>
      </c>
      <c r="E151" s="1" t="s">
        <v>6</v>
      </c>
      <c r="F151" s="1" t="s">
        <v>81</v>
      </c>
      <c r="G151" s="1" t="s">
        <v>84</v>
      </c>
      <c r="H151" s="3" t="s">
        <v>65</v>
      </c>
      <c r="I151" s="3">
        <v>0.6</v>
      </c>
      <c r="J151" s="3">
        <v>0.6</v>
      </c>
      <c r="K151">
        <f t="shared" si="4"/>
        <v>4800</v>
      </c>
      <c r="L151" s="3">
        <v>5.5</v>
      </c>
      <c r="M151" s="3">
        <v>8000</v>
      </c>
      <c r="N151" s="3">
        <v>2400</v>
      </c>
      <c r="O151">
        <f t="shared" si="5"/>
        <v>24960</v>
      </c>
    </row>
    <row r="152" spans="1:15">
      <c r="A152" s="1">
        <v>150</v>
      </c>
      <c r="B152" s="1" t="s">
        <v>146</v>
      </c>
      <c r="C152" s="2">
        <v>22</v>
      </c>
      <c r="D152" s="1" t="s">
        <v>100</v>
      </c>
      <c r="E152" s="1" t="s">
        <v>6</v>
      </c>
      <c r="F152" s="1" t="s">
        <v>81</v>
      </c>
      <c r="G152" s="1" t="s">
        <v>85</v>
      </c>
      <c r="H152" s="3" t="s">
        <v>101</v>
      </c>
      <c r="I152" s="3">
        <v>0.6</v>
      </c>
      <c r="J152" s="3">
        <v>0.6</v>
      </c>
      <c r="K152">
        <f t="shared" si="4"/>
        <v>4320</v>
      </c>
      <c r="L152" s="3">
        <v>6.6</v>
      </c>
      <c r="M152" s="3">
        <v>7200</v>
      </c>
      <c r="N152" s="3">
        <v>2640</v>
      </c>
      <c r="O152">
        <f t="shared" si="5"/>
        <v>26928</v>
      </c>
    </row>
    <row r="153" spans="1:15">
      <c r="A153" s="1">
        <v>151</v>
      </c>
      <c r="B153" s="1" t="s">
        <v>146</v>
      </c>
      <c r="C153" s="2">
        <v>41</v>
      </c>
      <c r="D153" s="1" t="s">
        <v>143</v>
      </c>
      <c r="E153" s="1" t="s">
        <v>5</v>
      </c>
      <c r="F153" s="1" t="s">
        <v>88</v>
      </c>
      <c r="G153" s="1" t="s">
        <v>84</v>
      </c>
      <c r="H153" s="3" t="s">
        <v>144</v>
      </c>
      <c r="I153" s="3">
        <v>0.6</v>
      </c>
      <c r="J153" s="3">
        <v>0.6</v>
      </c>
      <c r="K153">
        <f t="shared" si="4"/>
        <v>600</v>
      </c>
      <c r="L153" s="3">
        <v>100</v>
      </c>
      <c r="M153" s="3">
        <v>1000</v>
      </c>
      <c r="N153" s="3">
        <v>10000</v>
      </c>
      <c r="O153">
        <f t="shared" si="5"/>
        <v>54000</v>
      </c>
    </row>
    <row r="154" spans="1:15">
      <c r="A154" s="1">
        <v>152</v>
      </c>
      <c r="B154" s="1" t="s">
        <v>147</v>
      </c>
      <c r="C154" s="2">
        <v>21</v>
      </c>
      <c r="D154" s="1" t="s">
        <v>96</v>
      </c>
      <c r="E154" s="1" t="s">
        <v>6</v>
      </c>
      <c r="F154" s="1" t="s">
        <v>81</v>
      </c>
      <c r="G154" s="1" t="s">
        <v>82</v>
      </c>
      <c r="H154" s="3" t="s">
        <v>97</v>
      </c>
      <c r="I154" s="3">
        <v>0.6</v>
      </c>
      <c r="J154" s="3">
        <v>0.6</v>
      </c>
      <c r="K154">
        <f t="shared" si="4"/>
        <v>1440</v>
      </c>
      <c r="L154" s="3">
        <v>6.25</v>
      </c>
      <c r="M154" s="3">
        <v>2400</v>
      </c>
      <c r="N154" s="3">
        <v>2000</v>
      </c>
      <c r="O154">
        <f t="shared" si="5"/>
        <v>7800</v>
      </c>
    </row>
    <row r="155" spans="1:15">
      <c r="A155" s="1">
        <v>153</v>
      </c>
      <c r="B155" s="1" t="s">
        <v>147</v>
      </c>
      <c r="C155" s="2">
        <v>21</v>
      </c>
      <c r="D155" s="1" t="s">
        <v>96</v>
      </c>
      <c r="E155" s="1" t="s">
        <v>6</v>
      </c>
      <c r="F155" s="1" t="s">
        <v>81</v>
      </c>
      <c r="G155" s="1" t="s">
        <v>84</v>
      </c>
      <c r="H155" s="3" t="s">
        <v>97</v>
      </c>
      <c r="I155" s="3">
        <v>0.6</v>
      </c>
      <c r="J155" s="3">
        <v>0.6</v>
      </c>
      <c r="K155">
        <f t="shared" si="4"/>
        <v>1800</v>
      </c>
      <c r="L155" s="3">
        <v>6.25</v>
      </c>
      <c r="M155" s="3">
        <v>3000</v>
      </c>
      <c r="N155" s="3">
        <v>2400</v>
      </c>
      <c r="O155">
        <f t="shared" si="5"/>
        <v>9810</v>
      </c>
    </row>
    <row r="156" spans="1:15">
      <c r="A156" s="1">
        <v>154</v>
      </c>
      <c r="B156" s="1" t="s">
        <v>147</v>
      </c>
      <c r="C156" s="2">
        <v>21</v>
      </c>
      <c r="D156" s="1" t="s">
        <v>96</v>
      </c>
      <c r="E156" s="1" t="s">
        <v>6</v>
      </c>
      <c r="F156" s="1" t="s">
        <v>81</v>
      </c>
      <c r="G156" s="1" t="s">
        <v>85</v>
      </c>
      <c r="H156" s="3" t="s">
        <v>98</v>
      </c>
      <c r="I156" s="3">
        <v>0.6</v>
      </c>
      <c r="J156" s="3">
        <v>0.6</v>
      </c>
      <c r="K156">
        <f t="shared" si="4"/>
        <v>1620</v>
      </c>
      <c r="L156" s="3">
        <v>7.5</v>
      </c>
      <c r="M156" s="3">
        <v>2700</v>
      </c>
      <c r="N156" s="3">
        <v>2640</v>
      </c>
      <c r="O156">
        <f t="shared" si="5"/>
        <v>10566</v>
      </c>
    </row>
    <row r="157" spans="1:15">
      <c r="A157" s="1">
        <v>155</v>
      </c>
      <c r="B157" s="1" t="s">
        <v>147</v>
      </c>
      <c r="C157" s="2">
        <v>41</v>
      </c>
      <c r="D157" s="1" t="s">
        <v>143</v>
      </c>
      <c r="E157" s="1" t="s">
        <v>5</v>
      </c>
      <c r="F157" s="1" t="s">
        <v>88</v>
      </c>
      <c r="G157" s="1" t="s">
        <v>84</v>
      </c>
      <c r="H157" s="3" t="s">
        <v>144</v>
      </c>
      <c r="I157" s="3">
        <v>0.6</v>
      </c>
      <c r="J157" s="3">
        <v>0.6</v>
      </c>
      <c r="K157">
        <f t="shared" si="4"/>
        <v>600</v>
      </c>
      <c r="L157" s="3">
        <v>100</v>
      </c>
      <c r="M157" s="3">
        <v>1000</v>
      </c>
      <c r="N157" s="3">
        <v>10000</v>
      </c>
      <c r="O157">
        <f t="shared" si="5"/>
        <v>54000</v>
      </c>
    </row>
    <row r="158" spans="1:15">
      <c r="A158" s="1">
        <v>156</v>
      </c>
      <c r="B158" s="1" t="s">
        <v>148</v>
      </c>
      <c r="C158" s="2">
        <v>29</v>
      </c>
      <c r="D158" s="1" t="s">
        <v>149</v>
      </c>
      <c r="E158" s="1" t="s">
        <v>6</v>
      </c>
      <c r="F158" s="1" t="s">
        <v>81</v>
      </c>
      <c r="G158" s="1" t="s">
        <v>82</v>
      </c>
      <c r="H158" s="3" t="s">
        <v>39</v>
      </c>
      <c r="I158" s="3">
        <v>0.6</v>
      </c>
      <c r="J158" s="3">
        <v>0.6</v>
      </c>
      <c r="K158">
        <f t="shared" si="4"/>
        <v>7200</v>
      </c>
      <c r="L158" s="3">
        <v>7</v>
      </c>
      <c r="M158" s="3">
        <v>12000</v>
      </c>
      <c r="N158" s="3">
        <v>2900</v>
      </c>
      <c r="O158">
        <f t="shared" si="5"/>
        <v>48660</v>
      </c>
    </row>
    <row r="159" spans="1:15">
      <c r="A159" s="1">
        <v>157</v>
      </c>
      <c r="B159" s="1" t="s">
        <v>148</v>
      </c>
      <c r="C159" s="2">
        <v>29</v>
      </c>
      <c r="D159" s="1" t="s">
        <v>149</v>
      </c>
      <c r="E159" s="1" t="s">
        <v>6</v>
      </c>
      <c r="F159" s="1" t="s">
        <v>81</v>
      </c>
      <c r="G159" s="1" t="s">
        <v>84</v>
      </c>
      <c r="H159" s="3" t="s">
        <v>39</v>
      </c>
      <c r="I159" s="3">
        <v>0.6</v>
      </c>
      <c r="J159" s="3">
        <v>0.6</v>
      </c>
      <c r="K159">
        <f t="shared" si="4"/>
        <v>9000</v>
      </c>
      <c r="L159" s="3">
        <v>7</v>
      </c>
      <c r="M159" s="3">
        <v>15000</v>
      </c>
      <c r="N159" s="3">
        <v>3500</v>
      </c>
      <c r="O159">
        <f t="shared" si="5"/>
        <v>60900</v>
      </c>
    </row>
    <row r="160" spans="1:15">
      <c r="A160" s="1">
        <v>158</v>
      </c>
      <c r="B160" s="1" t="s">
        <v>148</v>
      </c>
      <c r="C160" s="2">
        <v>29</v>
      </c>
      <c r="D160" s="1" t="s">
        <v>149</v>
      </c>
      <c r="E160" s="1" t="s">
        <v>6</v>
      </c>
      <c r="F160" s="1" t="s">
        <v>81</v>
      </c>
      <c r="G160" s="1" t="s">
        <v>85</v>
      </c>
      <c r="H160" s="3" t="s">
        <v>150</v>
      </c>
      <c r="I160" s="3">
        <v>0.6</v>
      </c>
      <c r="J160" s="3">
        <v>0.6</v>
      </c>
      <c r="K160">
        <f t="shared" si="4"/>
        <v>8100</v>
      </c>
      <c r="L160" s="3">
        <v>8.4</v>
      </c>
      <c r="M160" s="3">
        <v>13500</v>
      </c>
      <c r="N160" s="3">
        <v>3850</v>
      </c>
      <c r="O160">
        <f t="shared" si="5"/>
        <v>65730</v>
      </c>
    </row>
    <row r="161" spans="1:15">
      <c r="A161" s="1">
        <v>159</v>
      </c>
      <c r="B161" s="1" t="s">
        <v>148</v>
      </c>
      <c r="C161" s="2">
        <v>41</v>
      </c>
      <c r="D161" s="1" t="s">
        <v>143</v>
      </c>
      <c r="E161" s="1" t="s">
        <v>5</v>
      </c>
      <c r="F161" s="1" t="s">
        <v>88</v>
      </c>
      <c r="G161" s="1" t="s">
        <v>84</v>
      </c>
      <c r="H161" s="3" t="s">
        <v>144</v>
      </c>
      <c r="I161" s="3">
        <v>0.6</v>
      </c>
      <c r="J161" s="3">
        <v>0.6</v>
      </c>
      <c r="K161">
        <f t="shared" si="4"/>
        <v>600</v>
      </c>
      <c r="L161" s="3">
        <v>100</v>
      </c>
      <c r="M161" s="3">
        <v>1000</v>
      </c>
      <c r="N161" s="3">
        <v>10000</v>
      </c>
      <c r="O161">
        <f t="shared" si="5"/>
        <v>54000</v>
      </c>
    </row>
    <row r="162" spans="1:15">
      <c r="A162" s="1">
        <v>160</v>
      </c>
      <c r="B162" s="1" t="s">
        <v>151</v>
      </c>
      <c r="C162" s="2">
        <v>30</v>
      </c>
      <c r="D162" s="1" t="s">
        <v>152</v>
      </c>
      <c r="E162" s="1" t="s">
        <v>6</v>
      </c>
      <c r="F162" s="1" t="s">
        <v>81</v>
      </c>
      <c r="G162" s="1" t="s">
        <v>82</v>
      </c>
      <c r="H162" s="3" t="s">
        <v>153</v>
      </c>
      <c r="I162" s="3">
        <v>0.6</v>
      </c>
      <c r="J162" s="3">
        <v>0.3</v>
      </c>
      <c r="K162">
        <f t="shared" si="4"/>
        <v>2460</v>
      </c>
      <c r="L162" s="3">
        <v>5.25</v>
      </c>
      <c r="M162" s="3">
        <v>4100</v>
      </c>
      <c r="N162" s="3">
        <v>1600</v>
      </c>
      <c r="O162">
        <f t="shared" si="5"/>
        <v>12435</v>
      </c>
    </row>
    <row r="163" spans="1:15">
      <c r="A163" s="1">
        <v>161</v>
      </c>
      <c r="B163" s="1" t="s">
        <v>151</v>
      </c>
      <c r="C163" s="2">
        <v>30</v>
      </c>
      <c r="D163" s="1" t="s">
        <v>152</v>
      </c>
      <c r="E163" s="1" t="s">
        <v>6</v>
      </c>
      <c r="F163" s="1" t="s">
        <v>81</v>
      </c>
      <c r="G163" s="1" t="s">
        <v>84</v>
      </c>
      <c r="H163" s="3" t="s">
        <v>153</v>
      </c>
      <c r="I163" s="3">
        <v>0.6</v>
      </c>
      <c r="J163" s="3">
        <v>0.3</v>
      </c>
      <c r="K163">
        <f t="shared" si="4"/>
        <v>3000</v>
      </c>
      <c r="L163" s="3">
        <v>5.25</v>
      </c>
      <c r="M163" s="3">
        <v>5000</v>
      </c>
      <c r="N163" s="3">
        <v>2000</v>
      </c>
      <c r="O163">
        <f t="shared" si="5"/>
        <v>15150</v>
      </c>
    </row>
    <row r="164" spans="1:15">
      <c r="A164" s="1">
        <v>162</v>
      </c>
      <c r="B164" s="1" t="s">
        <v>151</v>
      </c>
      <c r="C164" s="2">
        <v>30</v>
      </c>
      <c r="D164" s="1" t="s">
        <v>152</v>
      </c>
      <c r="E164" s="1" t="s">
        <v>6</v>
      </c>
      <c r="F164" s="1" t="s">
        <v>81</v>
      </c>
      <c r="G164" s="1" t="s">
        <v>85</v>
      </c>
      <c r="H164" s="3" t="s">
        <v>154</v>
      </c>
      <c r="I164" s="3">
        <v>0.6</v>
      </c>
      <c r="J164" s="3">
        <v>0.3</v>
      </c>
      <c r="K164">
        <f t="shared" si="4"/>
        <v>2700</v>
      </c>
      <c r="L164" s="3">
        <v>6.3</v>
      </c>
      <c r="M164" s="3">
        <v>4500</v>
      </c>
      <c r="N164" s="3">
        <v>2200</v>
      </c>
      <c r="O164">
        <f t="shared" si="5"/>
        <v>16350</v>
      </c>
    </row>
    <row r="165" spans="1:15">
      <c r="A165" s="1">
        <v>163</v>
      </c>
      <c r="B165" s="1" t="s">
        <v>151</v>
      </c>
      <c r="C165" s="2">
        <v>27</v>
      </c>
      <c r="D165" s="1" t="s">
        <v>131</v>
      </c>
      <c r="E165" s="1" t="s">
        <v>6</v>
      </c>
      <c r="F165" s="1" t="s">
        <v>81</v>
      </c>
      <c r="G165" s="1" t="s">
        <v>82</v>
      </c>
      <c r="H165" s="3" t="s">
        <v>132</v>
      </c>
      <c r="I165" s="3">
        <v>0.6</v>
      </c>
      <c r="J165" s="3">
        <v>0.3</v>
      </c>
      <c r="K165">
        <f t="shared" si="4"/>
        <v>2460</v>
      </c>
      <c r="L165" s="3">
        <v>5</v>
      </c>
      <c r="M165" s="3">
        <v>4100</v>
      </c>
      <c r="N165" s="3">
        <v>1600</v>
      </c>
      <c r="O165">
        <f t="shared" si="5"/>
        <v>11820</v>
      </c>
    </row>
    <row r="166" spans="1:15">
      <c r="A166" s="1">
        <v>164</v>
      </c>
      <c r="B166" s="1" t="s">
        <v>151</v>
      </c>
      <c r="C166" s="2">
        <v>27</v>
      </c>
      <c r="D166" s="1" t="s">
        <v>131</v>
      </c>
      <c r="E166" s="1" t="s">
        <v>6</v>
      </c>
      <c r="F166" s="1" t="s">
        <v>81</v>
      </c>
      <c r="G166" s="1" t="s">
        <v>84</v>
      </c>
      <c r="H166" s="3" t="s">
        <v>132</v>
      </c>
      <c r="I166" s="3">
        <v>0.6</v>
      </c>
      <c r="J166" s="3">
        <v>0.3</v>
      </c>
      <c r="K166">
        <f t="shared" si="4"/>
        <v>3000</v>
      </c>
      <c r="L166" s="3">
        <v>5</v>
      </c>
      <c r="M166" s="3">
        <v>5000</v>
      </c>
      <c r="N166" s="3">
        <v>2000</v>
      </c>
      <c r="O166">
        <f t="shared" si="5"/>
        <v>14400</v>
      </c>
    </row>
    <row r="167" spans="1:15">
      <c r="A167" s="1">
        <v>165</v>
      </c>
      <c r="B167" s="1" t="s">
        <v>151</v>
      </c>
      <c r="C167" s="2">
        <v>27</v>
      </c>
      <c r="D167" s="1" t="s">
        <v>131</v>
      </c>
      <c r="E167" s="1" t="s">
        <v>6</v>
      </c>
      <c r="F167" s="1" t="s">
        <v>81</v>
      </c>
      <c r="G167" s="1" t="s">
        <v>85</v>
      </c>
      <c r="H167" s="3" t="s">
        <v>133</v>
      </c>
      <c r="I167" s="3">
        <v>0.6</v>
      </c>
      <c r="J167" s="3">
        <v>0.3</v>
      </c>
      <c r="K167">
        <f t="shared" si="4"/>
        <v>2700</v>
      </c>
      <c r="L167" s="3">
        <v>6</v>
      </c>
      <c r="M167" s="3">
        <v>4500</v>
      </c>
      <c r="N167" s="3">
        <v>2200</v>
      </c>
      <c r="O167">
        <f t="shared" si="5"/>
        <v>15540</v>
      </c>
    </row>
    <row r="168" spans="1:15">
      <c r="A168" s="1">
        <v>166</v>
      </c>
      <c r="B168" s="1" t="s">
        <v>151</v>
      </c>
      <c r="C168" s="2">
        <v>41</v>
      </c>
      <c r="D168" s="1" t="s">
        <v>143</v>
      </c>
      <c r="E168" s="1" t="s">
        <v>5</v>
      </c>
      <c r="F168" s="1" t="s">
        <v>88</v>
      </c>
      <c r="G168" s="1" t="s">
        <v>84</v>
      </c>
      <c r="H168" s="3" t="s">
        <v>144</v>
      </c>
      <c r="I168" s="3">
        <v>0.6</v>
      </c>
      <c r="J168" s="3">
        <v>0.6</v>
      </c>
      <c r="K168">
        <f t="shared" si="4"/>
        <v>600</v>
      </c>
      <c r="L168" s="3">
        <v>100</v>
      </c>
      <c r="M168" s="3">
        <v>1000</v>
      </c>
      <c r="N168" s="3">
        <v>10000</v>
      </c>
      <c r="O168">
        <f t="shared" si="5"/>
        <v>54000</v>
      </c>
    </row>
    <row r="169" spans="1:15">
      <c r="A169" s="1">
        <v>167</v>
      </c>
      <c r="B169" s="1" t="s">
        <v>155</v>
      </c>
      <c r="C169" s="2">
        <v>31</v>
      </c>
      <c r="D169" s="1" t="s">
        <v>156</v>
      </c>
      <c r="E169" s="1" t="s">
        <v>6</v>
      </c>
      <c r="F169" s="1" t="s">
        <v>81</v>
      </c>
      <c r="G169" s="1" t="s">
        <v>82</v>
      </c>
      <c r="H169" s="3" t="s">
        <v>157</v>
      </c>
      <c r="I169" s="3">
        <v>0.6</v>
      </c>
      <c r="J169" s="3">
        <v>0.6</v>
      </c>
      <c r="K169">
        <f t="shared" si="4"/>
        <v>960</v>
      </c>
      <c r="L169" s="3">
        <v>7.25</v>
      </c>
      <c r="M169" s="3">
        <v>1600</v>
      </c>
      <c r="N169" s="3">
        <v>1000</v>
      </c>
      <c r="O169">
        <f t="shared" si="5"/>
        <v>6360</v>
      </c>
    </row>
    <row r="170" spans="1:15">
      <c r="A170" s="1">
        <v>168</v>
      </c>
      <c r="B170" s="1" t="s">
        <v>155</v>
      </c>
      <c r="C170" s="2">
        <v>31</v>
      </c>
      <c r="D170" s="1" t="s">
        <v>156</v>
      </c>
      <c r="E170" s="1" t="s">
        <v>6</v>
      </c>
      <c r="F170" s="1" t="s">
        <v>81</v>
      </c>
      <c r="G170" s="1" t="s">
        <v>84</v>
      </c>
      <c r="H170" s="3" t="s">
        <v>157</v>
      </c>
      <c r="I170" s="3">
        <v>0.6</v>
      </c>
      <c r="J170" s="3">
        <v>0.6</v>
      </c>
      <c r="K170">
        <f t="shared" si="4"/>
        <v>1200</v>
      </c>
      <c r="L170" s="3">
        <v>7.25</v>
      </c>
      <c r="M170" s="3">
        <v>2000</v>
      </c>
      <c r="N170" s="3">
        <v>1200</v>
      </c>
      <c r="O170">
        <f t="shared" si="5"/>
        <v>7980</v>
      </c>
    </row>
    <row r="171" spans="1:15">
      <c r="A171" s="1">
        <v>169</v>
      </c>
      <c r="B171" s="1" t="s">
        <v>155</v>
      </c>
      <c r="C171" s="2">
        <v>31</v>
      </c>
      <c r="D171" s="1" t="s">
        <v>156</v>
      </c>
      <c r="E171" s="1" t="s">
        <v>6</v>
      </c>
      <c r="F171" s="1" t="s">
        <v>81</v>
      </c>
      <c r="G171" s="1" t="s">
        <v>85</v>
      </c>
      <c r="H171" s="3" t="s">
        <v>158</v>
      </c>
      <c r="I171" s="3">
        <v>0.6</v>
      </c>
      <c r="J171" s="3">
        <v>0.6</v>
      </c>
      <c r="K171">
        <f t="shared" si="4"/>
        <v>1080</v>
      </c>
      <c r="L171" s="3">
        <v>8.7</v>
      </c>
      <c r="M171" s="3">
        <v>1800</v>
      </c>
      <c r="N171" s="3">
        <v>1300</v>
      </c>
      <c r="O171">
        <f t="shared" si="5"/>
        <v>8616</v>
      </c>
    </row>
    <row r="172" spans="1:15">
      <c r="A172" s="1">
        <v>170</v>
      </c>
      <c r="B172" s="1" t="s">
        <v>155</v>
      </c>
      <c r="C172" s="2">
        <v>41</v>
      </c>
      <c r="D172" s="1" t="s">
        <v>143</v>
      </c>
      <c r="E172" s="1" t="s">
        <v>5</v>
      </c>
      <c r="F172" s="1" t="s">
        <v>88</v>
      </c>
      <c r="G172" s="1" t="s">
        <v>84</v>
      </c>
      <c r="H172" s="3" t="s">
        <v>144</v>
      </c>
      <c r="I172" s="3">
        <v>0.6</v>
      </c>
      <c r="J172" s="3">
        <v>0.6</v>
      </c>
      <c r="K172">
        <f t="shared" si="4"/>
        <v>600</v>
      </c>
      <c r="L172" s="3">
        <v>100</v>
      </c>
      <c r="M172" s="3">
        <v>1000</v>
      </c>
      <c r="N172" s="3">
        <v>10000</v>
      </c>
      <c r="O172">
        <f t="shared" si="5"/>
        <v>54000</v>
      </c>
    </row>
    <row r="173" spans="1:15">
      <c r="A173" s="1">
        <v>171</v>
      </c>
      <c r="B173" s="1" t="s">
        <v>159</v>
      </c>
      <c r="C173" s="2">
        <v>32</v>
      </c>
      <c r="D173" s="1" t="s">
        <v>160</v>
      </c>
      <c r="E173" s="1" t="s">
        <v>6</v>
      </c>
      <c r="F173" s="1" t="s">
        <v>81</v>
      </c>
      <c r="G173" s="1" t="s">
        <v>82</v>
      </c>
      <c r="H173" s="3" t="s">
        <v>161</v>
      </c>
      <c r="I173" s="3">
        <v>0.6</v>
      </c>
      <c r="J173" s="3">
        <v>0.3</v>
      </c>
      <c r="K173">
        <f t="shared" si="4"/>
        <v>6000</v>
      </c>
      <c r="L173" s="3">
        <v>4.5</v>
      </c>
      <c r="M173" s="3">
        <v>10000</v>
      </c>
      <c r="N173" s="3">
        <v>4100</v>
      </c>
      <c r="O173">
        <f t="shared" si="5"/>
        <v>25770</v>
      </c>
    </row>
    <row r="174" spans="1:15">
      <c r="A174" s="1">
        <v>172</v>
      </c>
      <c r="B174" s="1" t="s">
        <v>159</v>
      </c>
      <c r="C174" s="2">
        <v>32</v>
      </c>
      <c r="D174" s="1" t="s">
        <v>160</v>
      </c>
      <c r="E174" s="1" t="s">
        <v>6</v>
      </c>
      <c r="F174" s="1" t="s">
        <v>81</v>
      </c>
      <c r="G174" s="1" t="s">
        <v>84</v>
      </c>
      <c r="H174" s="3" t="s">
        <v>161</v>
      </c>
      <c r="I174" s="3">
        <v>0.6</v>
      </c>
      <c r="J174" s="3">
        <v>0.3</v>
      </c>
      <c r="K174">
        <f t="shared" si="4"/>
        <v>7200</v>
      </c>
      <c r="L174" s="3">
        <v>4.5</v>
      </c>
      <c r="M174" s="3">
        <v>12000</v>
      </c>
      <c r="N174" s="3">
        <v>5000</v>
      </c>
      <c r="O174">
        <f t="shared" si="5"/>
        <v>30900</v>
      </c>
    </row>
    <row r="175" spans="1:15">
      <c r="A175" s="1">
        <v>173</v>
      </c>
      <c r="B175" s="1" t="s">
        <v>159</v>
      </c>
      <c r="C175" s="2">
        <v>32</v>
      </c>
      <c r="D175" s="1" t="s">
        <v>160</v>
      </c>
      <c r="E175" s="1" t="s">
        <v>6</v>
      </c>
      <c r="F175" s="1" t="s">
        <v>81</v>
      </c>
      <c r="G175" s="1" t="s">
        <v>85</v>
      </c>
      <c r="H175" s="3" t="s">
        <v>162</v>
      </c>
      <c r="I175" s="3">
        <v>0.6</v>
      </c>
      <c r="J175" s="3">
        <v>0.3</v>
      </c>
      <c r="K175">
        <f t="shared" si="4"/>
        <v>6600</v>
      </c>
      <c r="L175" s="3">
        <v>5.4</v>
      </c>
      <c r="M175" s="3">
        <v>11000</v>
      </c>
      <c r="N175" s="3">
        <v>5500</v>
      </c>
      <c r="O175">
        <f t="shared" si="5"/>
        <v>33990</v>
      </c>
    </row>
    <row r="176" spans="1:15">
      <c r="A176" s="1">
        <v>174</v>
      </c>
      <c r="B176" s="1" t="s">
        <v>159</v>
      </c>
      <c r="C176" s="2">
        <v>33</v>
      </c>
      <c r="D176" s="1" t="s">
        <v>163</v>
      </c>
      <c r="E176" s="1" t="s">
        <v>6</v>
      </c>
      <c r="F176" s="1" t="s">
        <v>81</v>
      </c>
      <c r="G176" s="1" t="s">
        <v>82</v>
      </c>
      <c r="H176" s="3" t="s">
        <v>164</v>
      </c>
      <c r="I176" s="3">
        <v>0.6</v>
      </c>
      <c r="J176" s="3">
        <v>0.3</v>
      </c>
      <c r="K176">
        <f t="shared" si="4"/>
        <v>3000</v>
      </c>
      <c r="L176" s="3">
        <v>4.5</v>
      </c>
      <c r="M176" s="3">
        <v>5000</v>
      </c>
      <c r="N176" s="3">
        <v>2000</v>
      </c>
      <c r="O176">
        <f t="shared" si="5"/>
        <v>12900</v>
      </c>
    </row>
    <row r="177" spans="1:15">
      <c r="A177" s="1">
        <v>175</v>
      </c>
      <c r="B177" s="1" t="s">
        <v>159</v>
      </c>
      <c r="C177" s="2">
        <v>33</v>
      </c>
      <c r="D177" s="1" t="s">
        <v>163</v>
      </c>
      <c r="E177" s="1" t="s">
        <v>6</v>
      </c>
      <c r="F177" s="1" t="s">
        <v>81</v>
      </c>
      <c r="G177" s="1" t="s">
        <v>84</v>
      </c>
      <c r="H177" s="3" t="s">
        <v>164</v>
      </c>
      <c r="I177" s="3">
        <v>0.6</v>
      </c>
      <c r="J177" s="3">
        <v>0.3</v>
      </c>
      <c r="K177">
        <f t="shared" si="4"/>
        <v>3600</v>
      </c>
      <c r="L177" s="3">
        <v>4.5</v>
      </c>
      <c r="M177" s="3">
        <v>6000</v>
      </c>
      <c r="N177" s="3">
        <v>2500</v>
      </c>
      <c r="O177">
        <f t="shared" si="5"/>
        <v>15450</v>
      </c>
    </row>
    <row r="178" spans="1:15">
      <c r="A178" s="1">
        <v>176</v>
      </c>
      <c r="B178" s="1" t="s">
        <v>159</v>
      </c>
      <c r="C178" s="2">
        <v>33</v>
      </c>
      <c r="D178" s="1" t="s">
        <v>163</v>
      </c>
      <c r="E178" s="1" t="s">
        <v>6</v>
      </c>
      <c r="F178" s="1" t="s">
        <v>81</v>
      </c>
      <c r="G178" s="1" t="s">
        <v>85</v>
      </c>
      <c r="H178" s="3" t="s">
        <v>165</v>
      </c>
      <c r="I178" s="3">
        <v>0.6</v>
      </c>
      <c r="J178" s="3">
        <v>0.3</v>
      </c>
      <c r="K178">
        <f t="shared" si="4"/>
        <v>3240</v>
      </c>
      <c r="L178" s="3">
        <v>5.4</v>
      </c>
      <c r="M178" s="3">
        <v>5400</v>
      </c>
      <c r="N178" s="3">
        <v>2750</v>
      </c>
      <c r="O178">
        <f t="shared" si="5"/>
        <v>16671</v>
      </c>
    </row>
    <row r="179" spans="1:15">
      <c r="A179" s="1">
        <v>177</v>
      </c>
      <c r="B179" s="1" t="s">
        <v>159</v>
      </c>
      <c r="C179" s="2">
        <v>24</v>
      </c>
      <c r="D179" s="1" t="s">
        <v>118</v>
      </c>
      <c r="E179" s="1" t="s">
        <v>6</v>
      </c>
      <c r="F179" s="1" t="s">
        <v>88</v>
      </c>
      <c r="G179" s="1" t="s">
        <v>82</v>
      </c>
      <c r="H179" s="3" t="s">
        <v>119</v>
      </c>
      <c r="I179" s="3">
        <v>0.6</v>
      </c>
      <c r="J179" s="3">
        <v>0.3</v>
      </c>
      <c r="K179">
        <f t="shared" si="4"/>
        <v>1440</v>
      </c>
      <c r="L179" s="3">
        <v>5.25</v>
      </c>
      <c r="M179" s="3">
        <v>2400</v>
      </c>
      <c r="N179" s="3">
        <v>1600</v>
      </c>
      <c r="O179">
        <f t="shared" si="5"/>
        <v>7080</v>
      </c>
    </row>
    <row r="180" spans="1:15">
      <c r="A180" s="1">
        <v>178</v>
      </c>
      <c r="B180" s="1" t="s">
        <v>159</v>
      </c>
      <c r="C180" s="2">
        <v>24</v>
      </c>
      <c r="D180" s="1" t="s">
        <v>118</v>
      </c>
      <c r="E180" s="1" t="s">
        <v>6</v>
      </c>
      <c r="F180" s="1" t="s">
        <v>88</v>
      </c>
      <c r="G180" s="1" t="s">
        <v>84</v>
      </c>
      <c r="H180" s="3" t="s">
        <v>119</v>
      </c>
      <c r="I180" s="3">
        <v>0.6</v>
      </c>
      <c r="J180" s="3">
        <v>0.3</v>
      </c>
      <c r="K180">
        <f t="shared" si="4"/>
        <v>1800</v>
      </c>
      <c r="L180" s="3">
        <v>5.25</v>
      </c>
      <c r="M180" s="3">
        <v>3000</v>
      </c>
      <c r="N180" s="3">
        <v>2000</v>
      </c>
      <c r="O180">
        <f t="shared" si="5"/>
        <v>8850</v>
      </c>
    </row>
    <row r="181" spans="1:15">
      <c r="A181" s="1">
        <v>179</v>
      </c>
      <c r="B181" s="1" t="s">
        <v>159</v>
      </c>
      <c r="C181" s="2">
        <v>24</v>
      </c>
      <c r="D181" s="1" t="s">
        <v>118</v>
      </c>
      <c r="E181" s="1" t="s">
        <v>6</v>
      </c>
      <c r="F181" s="1" t="s">
        <v>88</v>
      </c>
      <c r="G181" s="1" t="s">
        <v>85</v>
      </c>
      <c r="H181" s="3" t="s">
        <v>120</v>
      </c>
      <c r="I181" s="3">
        <v>0.6</v>
      </c>
      <c r="J181" s="3">
        <v>0.3</v>
      </c>
      <c r="K181">
        <f t="shared" si="4"/>
        <v>1620</v>
      </c>
      <c r="L181" s="3">
        <v>6.8</v>
      </c>
      <c r="M181" s="3">
        <v>2700</v>
      </c>
      <c r="N181" s="3">
        <v>2200</v>
      </c>
      <c r="O181">
        <f t="shared" si="5"/>
        <v>10356</v>
      </c>
    </row>
    <row r="182" spans="1:15">
      <c r="A182" s="1">
        <v>180</v>
      </c>
      <c r="B182" s="1" t="s">
        <v>159</v>
      </c>
      <c r="C182" s="2">
        <v>21</v>
      </c>
      <c r="D182" s="1" t="s">
        <v>96</v>
      </c>
      <c r="E182" s="1" t="s">
        <v>6</v>
      </c>
      <c r="F182" s="1" t="s">
        <v>88</v>
      </c>
      <c r="G182" s="1" t="s">
        <v>82</v>
      </c>
      <c r="H182" s="3" t="s">
        <v>97</v>
      </c>
      <c r="I182" s="3">
        <v>0.6</v>
      </c>
      <c r="J182" s="3">
        <v>0.3</v>
      </c>
      <c r="K182">
        <f t="shared" si="4"/>
        <v>1440</v>
      </c>
      <c r="L182" s="3">
        <v>6.25</v>
      </c>
      <c r="M182" s="3">
        <v>2400</v>
      </c>
      <c r="N182" s="3">
        <v>2000</v>
      </c>
      <c r="O182">
        <f t="shared" si="5"/>
        <v>8400</v>
      </c>
    </row>
    <row r="183" spans="1:15">
      <c r="A183" s="1">
        <v>181</v>
      </c>
      <c r="B183" s="1" t="s">
        <v>159</v>
      </c>
      <c r="C183" s="2">
        <v>21</v>
      </c>
      <c r="D183" s="1" t="s">
        <v>96</v>
      </c>
      <c r="E183" s="1" t="s">
        <v>6</v>
      </c>
      <c r="F183" s="1" t="s">
        <v>88</v>
      </c>
      <c r="G183" s="1" t="s">
        <v>84</v>
      </c>
      <c r="H183" s="3" t="s">
        <v>97</v>
      </c>
      <c r="I183" s="3">
        <v>0.6</v>
      </c>
      <c r="J183" s="3">
        <v>0.3</v>
      </c>
      <c r="K183">
        <f t="shared" si="4"/>
        <v>1800</v>
      </c>
      <c r="L183" s="3">
        <v>6.25</v>
      </c>
      <c r="M183" s="3">
        <v>3000</v>
      </c>
      <c r="N183" s="3">
        <v>2400</v>
      </c>
      <c r="O183">
        <f t="shared" si="5"/>
        <v>10530</v>
      </c>
    </row>
    <row r="184" spans="1:15">
      <c r="A184" s="1">
        <v>182</v>
      </c>
      <c r="B184" s="1" t="s">
        <v>159</v>
      </c>
      <c r="C184" s="2">
        <v>21</v>
      </c>
      <c r="D184" s="1" t="s">
        <v>96</v>
      </c>
      <c r="E184" s="1" t="s">
        <v>6</v>
      </c>
      <c r="F184" s="1" t="s">
        <v>88</v>
      </c>
      <c r="G184" s="1" t="s">
        <v>85</v>
      </c>
      <c r="H184" s="3" t="s">
        <v>98</v>
      </c>
      <c r="I184" s="3">
        <v>0.6</v>
      </c>
      <c r="J184" s="3">
        <v>0.3</v>
      </c>
      <c r="K184">
        <f t="shared" si="4"/>
        <v>1620</v>
      </c>
      <c r="L184" s="3">
        <v>7.5</v>
      </c>
      <c r="M184" s="3">
        <v>2700</v>
      </c>
      <c r="N184" s="3">
        <v>2640</v>
      </c>
      <c r="O184">
        <f t="shared" si="5"/>
        <v>11358</v>
      </c>
    </row>
    <row r="185" spans="1:15">
      <c r="A185" s="1">
        <v>183</v>
      </c>
      <c r="B185" s="1" t="s">
        <v>166</v>
      </c>
      <c r="C185" s="2">
        <v>25</v>
      </c>
      <c r="D185" s="1" t="s">
        <v>122</v>
      </c>
      <c r="E185" s="1" t="s">
        <v>6</v>
      </c>
      <c r="F185" s="1" t="s">
        <v>81</v>
      </c>
      <c r="G185" s="1" t="s">
        <v>82</v>
      </c>
      <c r="H185" s="3" t="s">
        <v>65</v>
      </c>
      <c r="I185" s="3">
        <v>0.6</v>
      </c>
      <c r="J185" s="3">
        <v>0.3</v>
      </c>
      <c r="K185">
        <f t="shared" si="4"/>
        <v>1980</v>
      </c>
      <c r="L185" s="3">
        <v>5.5</v>
      </c>
      <c r="M185" s="3">
        <v>3300</v>
      </c>
      <c r="N185" s="3">
        <v>2400</v>
      </c>
      <c r="O185">
        <f t="shared" si="5"/>
        <v>10170</v>
      </c>
    </row>
    <row r="186" spans="1:15">
      <c r="A186" s="1">
        <v>184</v>
      </c>
      <c r="B186" s="1" t="s">
        <v>166</v>
      </c>
      <c r="C186" s="2">
        <v>25</v>
      </c>
      <c r="D186" s="1" t="s">
        <v>122</v>
      </c>
      <c r="E186" s="1" t="s">
        <v>6</v>
      </c>
      <c r="F186" s="1" t="s">
        <v>81</v>
      </c>
      <c r="G186" s="1" t="s">
        <v>84</v>
      </c>
      <c r="H186" s="3" t="s">
        <v>65</v>
      </c>
      <c r="I186" s="3">
        <v>0.6</v>
      </c>
      <c r="J186" s="3">
        <v>0.3</v>
      </c>
      <c r="K186">
        <f t="shared" si="4"/>
        <v>2400</v>
      </c>
      <c r="L186" s="3">
        <v>5.5</v>
      </c>
      <c r="M186" s="3">
        <v>4000</v>
      </c>
      <c r="N186" s="3">
        <v>3000</v>
      </c>
      <c r="O186">
        <f t="shared" si="5"/>
        <v>12300</v>
      </c>
    </row>
    <row r="187" spans="1:15">
      <c r="A187" s="1">
        <v>185</v>
      </c>
      <c r="B187" s="1" t="s">
        <v>166</v>
      </c>
      <c r="C187" s="2">
        <v>25</v>
      </c>
      <c r="D187" s="1" t="s">
        <v>122</v>
      </c>
      <c r="E187" s="1" t="s">
        <v>6</v>
      </c>
      <c r="F187" s="1" t="s">
        <v>81</v>
      </c>
      <c r="G187" s="1" t="s">
        <v>85</v>
      </c>
      <c r="H187" s="3" t="s">
        <v>101</v>
      </c>
      <c r="I187" s="3">
        <v>0.6</v>
      </c>
      <c r="J187" s="3">
        <v>0.3</v>
      </c>
      <c r="K187">
        <f t="shared" si="4"/>
        <v>2160</v>
      </c>
      <c r="L187" s="3">
        <v>6.6</v>
      </c>
      <c r="M187" s="3">
        <v>3600</v>
      </c>
      <c r="N187" s="3">
        <v>3300</v>
      </c>
      <c r="O187">
        <f t="shared" si="5"/>
        <v>13266</v>
      </c>
    </row>
    <row r="188" spans="1:15">
      <c r="A188" s="1">
        <v>186</v>
      </c>
      <c r="B188" s="1" t="s">
        <v>166</v>
      </c>
      <c r="C188" s="2">
        <v>26</v>
      </c>
      <c r="D188" s="1" t="s">
        <v>124</v>
      </c>
      <c r="E188" s="1" t="s">
        <v>6</v>
      </c>
      <c r="F188" s="1" t="s">
        <v>81</v>
      </c>
      <c r="G188" s="1" t="s">
        <v>82</v>
      </c>
      <c r="H188" s="3" t="s">
        <v>125</v>
      </c>
      <c r="I188" s="3">
        <v>0.6</v>
      </c>
      <c r="J188" s="3">
        <v>0.3</v>
      </c>
      <c r="K188">
        <f t="shared" si="4"/>
        <v>2220</v>
      </c>
      <c r="L188" s="3">
        <v>6.5</v>
      </c>
      <c r="M188" s="3">
        <v>3700</v>
      </c>
      <c r="N188" s="3">
        <v>2900</v>
      </c>
      <c r="O188">
        <f t="shared" si="5"/>
        <v>13560</v>
      </c>
    </row>
    <row r="189" spans="1:15">
      <c r="A189" s="1">
        <v>187</v>
      </c>
      <c r="B189" s="1" t="s">
        <v>166</v>
      </c>
      <c r="C189" s="2">
        <v>26</v>
      </c>
      <c r="D189" s="1" t="s">
        <v>124</v>
      </c>
      <c r="E189" s="1" t="s">
        <v>6</v>
      </c>
      <c r="F189" s="1" t="s">
        <v>81</v>
      </c>
      <c r="G189" s="1" t="s">
        <v>84</v>
      </c>
      <c r="H189" s="3" t="s">
        <v>125</v>
      </c>
      <c r="I189" s="3">
        <v>0.6</v>
      </c>
      <c r="J189" s="3">
        <v>0.3</v>
      </c>
      <c r="K189">
        <f t="shared" si="4"/>
        <v>2700</v>
      </c>
      <c r="L189" s="3">
        <v>6.5</v>
      </c>
      <c r="M189" s="3">
        <v>4500</v>
      </c>
      <c r="N189" s="3">
        <v>3500</v>
      </c>
      <c r="O189">
        <f t="shared" si="5"/>
        <v>16500</v>
      </c>
    </row>
    <row r="190" spans="1:15">
      <c r="A190" s="1">
        <v>188</v>
      </c>
      <c r="B190" s="1" t="s">
        <v>166</v>
      </c>
      <c r="C190" s="2">
        <v>26</v>
      </c>
      <c r="D190" s="1" t="s">
        <v>124</v>
      </c>
      <c r="E190" s="1" t="s">
        <v>6</v>
      </c>
      <c r="F190" s="1" t="s">
        <v>81</v>
      </c>
      <c r="G190" s="1" t="s">
        <v>85</v>
      </c>
      <c r="H190" s="3" t="s">
        <v>126</v>
      </c>
      <c r="I190" s="3">
        <v>0.6</v>
      </c>
      <c r="J190" s="3">
        <v>0.3</v>
      </c>
      <c r="K190">
        <f t="shared" si="4"/>
        <v>2460</v>
      </c>
      <c r="L190" s="3">
        <v>7.8</v>
      </c>
      <c r="M190" s="3">
        <v>4100</v>
      </c>
      <c r="N190" s="3">
        <v>3850</v>
      </c>
      <c r="O190">
        <f t="shared" si="5"/>
        <v>18033</v>
      </c>
    </row>
    <row r="191" spans="1:15">
      <c r="A191" s="1">
        <v>189</v>
      </c>
      <c r="B191" s="1" t="s">
        <v>166</v>
      </c>
      <c r="C191" s="2">
        <v>22</v>
      </c>
      <c r="D191" s="1" t="s">
        <v>100</v>
      </c>
      <c r="E191" s="1" t="s">
        <v>6</v>
      </c>
      <c r="F191" s="1" t="s">
        <v>88</v>
      </c>
      <c r="G191" s="1" t="s">
        <v>82</v>
      </c>
      <c r="H191" s="3" t="s">
        <v>65</v>
      </c>
      <c r="I191" s="3">
        <v>0.6</v>
      </c>
      <c r="J191" s="3">
        <v>0.3</v>
      </c>
      <c r="K191">
        <f t="shared" si="4"/>
        <v>3840</v>
      </c>
      <c r="L191" s="3">
        <v>5.5</v>
      </c>
      <c r="M191" s="3">
        <v>6400</v>
      </c>
      <c r="N191" s="3">
        <v>2000</v>
      </c>
      <c r="O191">
        <f t="shared" si="5"/>
        <v>20520</v>
      </c>
    </row>
    <row r="192" spans="1:15">
      <c r="A192" s="1">
        <v>190</v>
      </c>
      <c r="B192" s="1" t="s">
        <v>166</v>
      </c>
      <c r="C192" s="2">
        <v>22</v>
      </c>
      <c r="D192" s="1" t="s">
        <v>100</v>
      </c>
      <c r="E192" s="1" t="s">
        <v>6</v>
      </c>
      <c r="F192" s="1" t="s">
        <v>88</v>
      </c>
      <c r="G192" s="1" t="s">
        <v>84</v>
      </c>
      <c r="H192" s="3" t="s">
        <v>65</v>
      </c>
      <c r="I192" s="3">
        <v>0.6</v>
      </c>
      <c r="J192" s="3">
        <v>0.3</v>
      </c>
      <c r="K192">
        <f t="shared" si="4"/>
        <v>4800</v>
      </c>
      <c r="L192" s="3">
        <v>5.5</v>
      </c>
      <c r="M192" s="3">
        <v>8000</v>
      </c>
      <c r="N192" s="3">
        <v>2400</v>
      </c>
      <c r="O192">
        <f t="shared" si="5"/>
        <v>25680</v>
      </c>
    </row>
    <row r="193" spans="1:15">
      <c r="A193" s="1">
        <v>191</v>
      </c>
      <c r="B193" s="1" t="s">
        <v>166</v>
      </c>
      <c r="C193" s="2">
        <v>22</v>
      </c>
      <c r="D193" s="1" t="s">
        <v>100</v>
      </c>
      <c r="E193" s="1" t="s">
        <v>6</v>
      </c>
      <c r="F193" s="1" t="s">
        <v>88</v>
      </c>
      <c r="G193" s="1" t="s">
        <v>85</v>
      </c>
      <c r="H193" s="3" t="s">
        <v>101</v>
      </c>
      <c r="I193" s="3">
        <v>0.6</v>
      </c>
      <c r="J193" s="3">
        <v>0.3</v>
      </c>
      <c r="K193">
        <f t="shared" si="4"/>
        <v>4320</v>
      </c>
      <c r="L193" s="3">
        <v>6.6</v>
      </c>
      <c r="M193" s="3">
        <v>7200</v>
      </c>
      <c r="N193" s="3">
        <v>2640</v>
      </c>
      <c r="O193">
        <f t="shared" si="5"/>
        <v>27720</v>
      </c>
    </row>
    <row r="194" spans="1:15">
      <c r="A194" s="1">
        <v>192</v>
      </c>
      <c r="B194" s="1" t="s">
        <v>166</v>
      </c>
      <c r="C194" s="2">
        <v>29</v>
      </c>
      <c r="D194" s="1" t="s">
        <v>149</v>
      </c>
      <c r="E194" s="1" t="s">
        <v>6</v>
      </c>
      <c r="F194" s="1" t="s">
        <v>88</v>
      </c>
      <c r="G194" s="1" t="s">
        <v>82</v>
      </c>
      <c r="H194" s="3" t="s">
        <v>39</v>
      </c>
      <c r="I194" s="3">
        <v>0.6</v>
      </c>
      <c r="J194" s="3">
        <v>0.3</v>
      </c>
      <c r="K194">
        <f t="shared" si="4"/>
        <v>7200</v>
      </c>
      <c r="L194" s="3">
        <v>7</v>
      </c>
      <c r="M194" s="3">
        <v>12000</v>
      </c>
      <c r="N194" s="3">
        <v>2900</v>
      </c>
      <c r="O194">
        <f t="shared" si="5"/>
        <v>49530</v>
      </c>
    </row>
    <row r="195" spans="1:15">
      <c r="A195" s="1">
        <v>193</v>
      </c>
      <c r="B195" s="1" t="s">
        <v>166</v>
      </c>
      <c r="C195" s="2">
        <v>29</v>
      </c>
      <c r="D195" s="1" t="s">
        <v>149</v>
      </c>
      <c r="E195" s="1" t="s">
        <v>6</v>
      </c>
      <c r="F195" s="1" t="s">
        <v>88</v>
      </c>
      <c r="G195" s="1" t="s">
        <v>84</v>
      </c>
      <c r="H195" s="3" t="s">
        <v>39</v>
      </c>
      <c r="I195" s="3">
        <v>0.6</v>
      </c>
      <c r="J195" s="3">
        <v>0.3</v>
      </c>
      <c r="K195">
        <f t="shared" ref="K195:K214" si="6">M195*I195</f>
        <v>9000</v>
      </c>
      <c r="L195" s="3">
        <v>7</v>
      </c>
      <c r="M195" s="3">
        <v>15000</v>
      </c>
      <c r="N195" s="3">
        <v>3500</v>
      </c>
      <c r="O195">
        <f t="shared" ref="O195:O214" si="7">K195*L195-J195*N195</f>
        <v>61950</v>
      </c>
    </row>
    <row r="196" spans="1:15">
      <c r="A196" s="1">
        <v>194</v>
      </c>
      <c r="B196" s="1" t="s">
        <v>166</v>
      </c>
      <c r="C196" s="2">
        <v>29</v>
      </c>
      <c r="D196" s="1" t="s">
        <v>149</v>
      </c>
      <c r="E196" s="1" t="s">
        <v>6</v>
      </c>
      <c r="F196" s="1" t="s">
        <v>88</v>
      </c>
      <c r="G196" s="1" t="s">
        <v>85</v>
      </c>
      <c r="H196" s="3" t="s">
        <v>150</v>
      </c>
      <c r="I196" s="3">
        <v>0.6</v>
      </c>
      <c r="J196" s="3">
        <v>0.3</v>
      </c>
      <c r="K196">
        <f t="shared" si="6"/>
        <v>8100</v>
      </c>
      <c r="L196" s="3">
        <v>8.4</v>
      </c>
      <c r="M196" s="3">
        <v>13500</v>
      </c>
      <c r="N196" s="3">
        <v>3850</v>
      </c>
      <c r="O196">
        <f t="shared" si="7"/>
        <v>66885</v>
      </c>
    </row>
    <row r="197" spans="1:15">
      <c r="A197" s="1">
        <v>195</v>
      </c>
      <c r="B197" s="1" t="s">
        <v>167</v>
      </c>
      <c r="C197" s="2">
        <v>17</v>
      </c>
      <c r="D197" s="1" t="s">
        <v>103</v>
      </c>
      <c r="E197" s="1" t="s">
        <v>7</v>
      </c>
      <c r="F197" s="1" t="s">
        <v>81</v>
      </c>
      <c r="G197" s="1" t="s">
        <v>82</v>
      </c>
      <c r="H197" s="3" t="s">
        <v>104</v>
      </c>
      <c r="I197" s="3">
        <v>0.6</v>
      </c>
      <c r="J197" s="3">
        <v>0.6</v>
      </c>
      <c r="K197">
        <f t="shared" si="6"/>
        <v>1800</v>
      </c>
      <c r="L197" s="3">
        <v>8</v>
      </c>
      <c r="M197" s="3">
        <v>3000</v>
      </c>
      <c r="N197" s="3">
        <v>2000</v>
      </c>
      <c r="O197">
        <f t="shared" si="7"/>
        <v>13200</v>
      </c>
    </row>
    <row r="198" spans="1:15">
      <c r="A198" s="1">
        <v>196</v>
      </c>
      <c r="B198" s="1" t="s">
        <v>167</v>
      </c>
      <c r="C198" s="2">
        <v>17</v>
      </c>
      <c r="D198" s="1" t="s">
        <v>103</v>
      </c>
      <c r="E198" s="1" t="s">
        <v>7</v>
      </c>
      <c r="F198" s="1" t="s">
        <v>81</v>
      </c>
      <c r="G198" s="1" t="s">
        <v>84</v>
      </c>
      <c r="H198" s="3" t="s">
        <v>104</v>
      </c>
      <c r="I198" s="3">
        <v>0.6</v>
      </c>
      <c r="J198" s="3">
        <v>0.6</v>
      </c>
      <c r="K198">
        <f t="shared" si="6"/>
        <v>2160</v>
      </c>
      <c r="L198" s="3">
        <v>8</v>
      </c>
      <c r="M198" s="3">
        <v>3600</v>
      </c>
      <c r="N198" s="3">
        <v>2400</v>
      </c>
      <c r="O198">
        <f t="shared" si="7"/>
        <v>15840</v>
      </c>
    </row>
    <row r="199" spans="1:15">
      <c r="A199" s="1">
        <v>197</v>
      </c>
      <c r="B199" s="1" t="s">
        <v>167</v>
      </c>
      <c r="C199" s="2">
        <v>17</v>
      </c>
      <c r="D199" s="1" t="s">
        <v>103</v>
      </c>
      <c r="E199" s="1" t="s">
        <v>7</v>
      </c>
      <c r="F199" s="1" t="s">
        <v>81</v>
      </c>
      <c r="G199" s="1" t="s">
        <v>85</v>
      </c>
      <c r="H199" s="3" t="s">
        <v>105</v>
      </c>
      <c r="I199" s="3">
        <v>0.6</v>
      </c>
      <c r="J199" s="3">
        <v>0.6</v>
      </c>
      <c r="K199">
        <f t="shared" si="6"/>
        <v>1920</v>
      </c>
      <c r="L199" s="3">
        <v>9.6</v>
      </c>
      <c r="M199" s="3">
        <v>3200</v>
      </c>
      <c r="N199" s="3">
        <v>2640</v>
      </c>
      <c r="O199">
        <f t="shared" si="7"/>
        <v>16848</v>
      </c>
    </row>
    <row r="200" spans="1:15">
      <c r="A200" s="1">
        <v>198</v>
      </c>
      <c r="B200" s="1" t="s">
        <v>167</v>
      </c>
      <c r="C200" s="2">
        <v>28</v>
      </c>
      <c r="D200" s="1" t="s">
        <v>91</v>
      </c>
      <c r="E200" s="1" t="s">
        <v>6</v>
      </c>
      <c r="F200" s="1" t="s">
        <v>88</v>
      </c>
      <c r="G200" s="1" t="s">
        <v>82</v>
      </c>
      <c r="H200" s="3" t="s">
        <v>92</v>
      </c>
      <c r="I200" s="3">
        <v>0.6</v>
      </c>
      <c r="J200" s="3">
        <v>0.3</v>
      </c>
      <c r="K200">
        <f t="shared" si="6"/>
        <v>1920</v>
      </c>
      <c r="L200" s="3">
        <v>5.75</v>
      </c>
      <c r="M200" s="3">
        <v>3200</v>
      </c>
      <c r="N200" s="3">
        <v>1600</v>
      </c>
      <c r="O200">
        <f t="shared" si="7"/>
        <v>10560</v>
      </c>
    </row>
    <row r="201" spans="1:15">
      <c r="A201" s="1">
        <v>199</v>
      </c>
      <c r="B201" s="1" t="s">
        <v>167</v>
      </c>
      <c r="C201" s="2">
        <v>28</v>
      </c>
      <c r="D201" s="1" t="s">
        <v>91</v>
      </c>
      <c r="E201" s="1" t="s">
        <v>6</v>
      </c>
      <c r="F201" s="1" t="s">
        <v>88</v>
      </c>
      <c r="G201" s="1" t="s">
        <v>84</v>
      </c>
      <c r="H201" s="3" t="s">
        <v>92</v>
      </c>
      <c r="I201" s="3">
        <v>0.6</v>
      </c>
      <c r="J201" s="3">
        <v>0.3</v>
      </c>
      <c r="K201">
        <f t="shared" si="6"/>
        <v>2400</v>
      </c>
      <c r="L201" s="3">
        <v>5.75</v>
      </c>
      <c r="M201" s="3">
        <v>4000</v>
      </c>
      <c r="N201" s="3">
        <v>2000</v>
      </c>
      <c r="O201">
        <f t="shared" si="7"/>
        <v>13200</v>
      </c>
    </row>
    <row r="202" spans="1:15">
      <c r="A202" s="1">
        <v>200</v>
      </c>
      <c r="B202" s="1" t="s">
        <v>167</v>
      </c>
      <c r="C202" s="2">
        <v>28</v>
      </c>
      <c r="D202" s="1" t="s">
        <v>91</v>
      </c>
      <c r="E202" s="1" t="s">
        <v>6</v>
      </c>
      <c r="F202" s="1" t="s">
        <v>88</v>
      </c>
      <c r="G202" s="1" t="s">
        <v>85</v>
      </c>
      <c r="H202" s="3" t="s">
        <v>93</v>
      </c>
      <c r="I202" s="3">
        <v>0.6</v>
      </c>
      <c r="J202" s="3">
        <v>0.3</v>
      </c>
      <c r="K202">
        <f t="shared" si="6"/>
        <v>2160</v>
      </c>
      <c r="L202" s="3">
        <v>6.9</v>
      </c>
      <c r="M202" s="3">
        <v>3600</v>
      </c>
      <c r="N202" s="3">
        <v>2200</v>
      </c>
      <c r="O202">
        <f t="shared" si="7"/>
        <v>14244</v>
      </c>
    </row>
    <row r="203" spans="1:15">
      <c r="A203" s="1">
        <v>201</v>
      </c>
      <c r="B203" s="1" t="s">
        <v>167</v>
      </c>
      <c r="C203" s="2">
        <v>30</v>
      </c>
      <c r="D203" s="1" t="s">
        <v>168</v>
      </c>
      <c r="E203" s="1" t="s">
        <v>6</v>
      </c>
      <c r="F203" s="1" t="s">
        <v>88</v>
      </c>
      <c r="G203" s="1" t="s">
        <v>82</v>
      </c>
      <c r="H203" s="3" t="s">
        <v>153</v>
      </c>
      <c r="I203" s="3">
        <v>0.6</v>
      </c>
      <c r="J203" s="3">
        <v>0.3</v>
      </c>
      <c r="K203">
        <f t="shared" si="6"/>
        <v>2460</v>
      </c>
      <c r="L203" s="3">
        <v>5.25</v>
      </c>
      <c r="M203" s="3">
        <v>4100</v>
      </c>
      <c r="N203" s="3">
        <v>1600</v>
      </c>
      <c r="O203">
        <f t="shared" si="7"/>
        <v>12435</v>
      </c>
    </row>
    <row r="204" spans="1:15">
      <c r="A204" s="1">
        <v>202</v>
      </c>
      <c r="B204" s="1" t="s">
        <v>167</v>
      </c>
      <c r="C204" s="2">
        <v>30</v>
      </c>
      <c r="D204" s="1" t="s">
        <v>168</v>
      </c>
      <c r="E204" s="1" t="s">
        <v>6</v>
      </c>
      <c r="F204" s="1" t="s">
        <v>88</v>
      </c>
      <c r="G204" s="1" t="s">
        <v>84</v>
      </c>
      <c r="H204" s="3" t="s">
        <v>153</v>
      </c>
      <c r="I204" s="3">
        <v>0.6</v>
      </c>
      <c r="J204" s="3">
        <v>0.3</v>
      </c>
      <c r="K204">
        <f t="shared" si="6"/>
        <v>3000</v>
      </c>
      <c r="L204" s="3">
        <v>5.25</v>
      </c>
      <c r="M204" s="3">
        <v>5000</v>
      </c>
      <c r="N204" s="3">
        <v>2000</v>
      </c>
      <c r="O204">
        <f t="shared" si="7"/>
        <v>15150</v>
      </c>
    </row>
    <row r="205" spans="1:15">
      <c r="A205" s="1">
        <v>203</v>
      </c>
      <c r="B205" s="1" t="s">
        <v>167</v>
      </c>
      <c r="C205" s="2">
        <v>30</v>
      </c>
      <c r="D205" s="1" t="s">
        <v>168</v>
      </c>
      <c r="E205" s="1" t="s">
        <v>6</v>
      </c>
      <c r="F205" s="1" t="s">
        <v>88</v>
      </c>
      <c r="G205" s="1" t="s">
        <v>85</v>
      </c>
      <c r="H205" s="3" t="s">
        <v>154</v>
      </c>
      <c r="I205" s="3">
        <v>0.6</v>
      </c>
      <c r="J205" s="3">
        <v>0.3</v>
      </c>
      <c r="K205">
        <f t="shared" si="6"/>
        <v>2700</v>
      </c>
      <c r="L205" s="3">
        <v>6.3</v>
      </c>
      <c r="M205" s="3">
        <v>4500</v>
      </c>
      <c r="N205" s="3">
        <v>2200</v>
      </c>
      <c r="O205">
        <f t="shared" si="7"/>
        <v>16350</v>
      </c>
    </row>
    <row r="206" spans="1:15">
      <c r="A206" s="1">
        <v>204</v>
      </c>
      <c r="B206" s="1" t="s">
        <v>169</v>
      </c>
      <c r="C206" s="2">
        <v>19</v>
      </c>
      <c r="D206" s="1" t="s">
        <v>135</v>
      </c>
      <c r="E206" s="1" t="s">
        <v>7</v>
      </c>
      <c r="F206" s="1" t="s">
        <v>81</v>
      </c>
      <c r="G206" s="1" t="s">
        <v>82</v>
      </c>
      <c r="H206" s="3" t="s">
        <v>136</v>
      </c>
      <c r="I206" s="3">
        <v>0.6</v>
      </c>
      <c r="J206" s="3">
        <v>0.6</v>
      </c>
      <c r="K206">
        <f t="shared" si="6"/>
        <v>1800</v>
      </c>
      <c r="L206" s="3">
        <v>6.5</v>
      </c>
      <c r="M206" s="3">
        <v>3000</v>
      </c>
      <c r="N206" s="3">
        <v>2000</v>
      </c>
      <c r="O206">
        <f t="shared" si="7"/>
        <v>10500</v>
      </c>
    </row>
    <row r="207" spans="1:15">
      <c r="A207" s="1">
        <v>205</v>
      </c>
      <c r="B207" s="1" t="s">
        <v>169</v>
      </c>
      <c r="C207" s="2">
        <v>19</v>
      </c>
      <c r="D207" s="1" t="s">
        <v>135</v>
      </c>
      <c r="E207" s="1" t="s">
        <v>7</v>
      </c>
      <c r="F207" s="1" t="s">
        <v>81</v>
      </c>
      <c r="G207" s="1" t="s">
        <v>84</v>
      </c>
      <c r="H207" s="3" t="s">
        <v>136</v>
      </c>
      <c r="I207" s="3">
        <v>0.6</v>
      </c>
      <c r="J207" s="3">
        <v>0.6</v>
      </c>
      <c r="K207">
        <f t="shared" si="6"/>
        <v>2160</v>
      </c>
      <c r="L207" s="3">
        <v>6.5</v>
      </c>
      <c r="M207" s="3">
        <v>3600</v>
      </c>
      <c r="N207" s="3">
        <v>2400</v>
      </c>
      <c r="O207">
        <f t="shared" si="7"/>
        <v>12600</v>
      </c>
    </row>
    <row r="208" spans="1:15">
      <c r="A208" s="1">
        <v>206</v>
      </c>
      <c r="B208" s="1" t="s">
        <v>169</v>
      </c>
      <c r="C208" s="2">
        <v>19</v>
      </c>
      <c r="D208" s="1" t="s">
        <v>135</v>
      </c>
      <c r="E208" s="1" t="s">
        <v>7</v>
      </c>
      <c r="F208" s="1" t="s">
        <v>81</v>
      </c>
      <c r="G208" s="1" t="s">
        <v>85</v>
      </c>
      <c r="H208" s="3" t="s">
        <v>137</v>
      </c>
      <c r="I208" s="3">
        <v>0.6</v>
      </c>
      <c r="J208" s="3">
        <v>0.6</v>
      </c>
      <c r="K208">
        <f t="shared" si="6"/>
        <v>1920</v>
      </c>
      <c r="L208" s="3">
        <v>7.8</v>
      </c>
      <c r="M208" s="3">
        <v>3200</v>
      </c>
      <c r="N208" s="3">
        <v>2640</v>
      </c>
      <c r="O208">
        <f t="shared" si="7"/>
        <v>13392</v>
      </c>
    </row>
    <row r="209" spans="1:15">
      <c r="A209" s="1">
        <v>207</v>
      </c>
      <c r="B209" s="1" t="s">
        <v>169</v>
      </c>
      <c r="C209" s="2">
        <v>34</v>
      </c>
      <c r="D209" s="1" t="s">
        <v>170</v>
      </c>
      <c r="E209" s="1" t="s">
        <v>6</v>
      </c>
      <c r="F209" s="1" t="s">
        <v>88</v>
      </c>
      <c r="G209" s="1" t="s">
        <v>82</v>
      </c>
      <c r="H209" s="3" t="s">
        <v>171</v>
      </c>
      <c r="I209" s="3">
        <v>0.6</v>
      </c>
      <c r="J209" s="3">
        <v>0.3</v>
      </c>
      <c r="K209">
        <f t="shared" si="6"/>
        <v>3300</v>
      </c>
      <c r="L209" s="3">
        <v>4</v>
      </c>
      <c r="M209" s="3">
        <v>5500</v>
      </c>
      <c r="N209" s="3">
        <v>900</v>
      </c>
      <c r="O209">
        <f t="shared" si="7"/>
        <v>12930</v>
      </c>
    </row>
    <row r="210" spans="1:15">
      <c r="A210" s="1">
        <v>208</v>
      </c>
      <c r="B210" s="1" t="s">
        <v>169</v>
      </c>
      <c r="C210" s="2">
        <v>34</v>
      </c>
      <c r="D210" s="1" t="s">
        <v>170</v>
      </c>
      <c r="E210" s="1" t="s">
        <v>6</v>
      </c>
      <c r="F210" s="1" t="s">
        <v>88</v>
      </c>
      <c r="G210" s="1" t="s">
        <v>84</v>
      </c>
      <c r="H210" s="3" t="s">
        <v>171</v>
      </c>
      <c r="I210" s="3">
        <v>0.6</v>
      </c>
      <c r="J210" s="3">
        <v>0.3</v>
      </c>
      <c r="K210">
        <f t="shared" si="6"/>
        <v>3960</v>
      </c>
      <c r="L210" s="3">
        <v>4</v>
      </c>
      <c r="M210" s="3">
        <v>6600</v>
      </c>
      <c r="N210" s="3">
        <v>1100</v>
      </c>
      <c r="O210">
        <f t="shared" si="7"/>
        <v>15510</v>
      </c>
    </row>
    <row r="211" spans="1:15">
      <c r="A211" s="1">
        <v>209</v>
      </c>
      <c r="B211" s="1" t="s">
        <v>169</v>
      </c>
      <c r="C211" s="2">
        <v>34</v>
      </c>
      <c r="D211" s="1" t="s">
        <v>170</v>
      </c>
      <c r="E211" s="1" t="s">
        <v>6</v>
      </c>
      <c r="F211" s="1" t="s">
        <v>88</v>
      </c>
      <c r="G211" s="1" t="s">
        <v>85</v>
      </c>
      <c r="H211" s="3" t="s">
        <v>172</v>
      </c>
      <c r="I211" s="3">
        <v>0.6</v>
      </c>
      <c r="J211" s="3">
        <v>0.3</v>
      </c>
      <c r="K211">
        <f t="shared" si="6"/>
        <v>3600</v>
      </c>
      <c r="L211" s="3">
        <v>4.8</v>
      </c>
      <c r="M211" s="3">
        <v>6000</v>
      </c>
      <c r="N211" s="3">
        <v>1200</v>
      </c>
      <c r="O211">
        <f t="shared" si="7"/>
        <v>16920</v>
      </c>
    </row>
    <row r="212" spans="1:15">
      <c r="A212" s="1">
        <v>210</v>
      </c>
      <c r="B212" s="1" t="s">
        <v>169</v>
      </c>
      <c r="C212" s="2">
        <v>23</v>
      </c>
      <c r="D212" s="1" t="s">
        <v>173</v>
      </c>
      <c r="E212" s="1" t="s">
        <v>6</v>
      </c>
      <c r="F212" s="1" t="s">
        <v>88</v>
      </c>
      <c r="G212" s="1" t="s">
        <v>82</v>
      </c>
      <c r="H212" s="3" t="s">
        <v>174</v>
      </c>
      <c r="I212" s="3">
        <v>0.6</v>
      </c>
      <c r="J212" s="3">
        <v>0.3</v>
      </c>
      <c r="K212">
        <f t="shared" si="6"/>
        <v>1620</v>
      </c>
      <c r="L212" s="3">
        <v>5.75</v>
      </c>
      <c r="M212" s="3">
        <v>2700</v>
      </c>
      <c r="N212" s="3">
        <v>2300</v>
      </c>
      <c r="O212">
        <f t="shared" si="7"/>
        <v>8625</v>
      </c>
    </row>
    <row r="213" spans="1:15">
      <c r="A213" s="1">
        <v>211</v>
      </c>
      <c r="B213" s="1" t="s">
        <v>169</v>
      </c>
      <c r="C213" s="2">
        <v>23</v>
      </c>
      <c r="D213" s="1" t="s">
        <v>173</v>
      </c>
      <c r="E213" s="1" t="s">
        <v>6</v>
      </c>
      <c r="F213" s="1" t="s">
        <v>88</v>
      </c>
      <c r="G213" s="1" t="s">
        <v>84</v>
      </c>
      <c r="H213" s="3" t="s">
        <v>174</v>
      </c>
      <c r="I213" s="3">
        <v>0.6</v>
      </c>
      <c r="J213" s="3">
        <v>0.3</v>
      </c>
      <c r="K213">
        <f t="shared" si="6"/>
        <v>1980</v>
      </c>
      <c r="L213" s="3">
        <v>5.75</v>
      </c>
      <c r="M213" s="3">
        <v>3300</v>
      </c>
      <c r="N213" s="3">
        <v>2700</v>
      </c>
      <c r="O213">
        <f t="shared" si="7"/>
        <v>10575</v>
      </c>
    </row>
    <row r="214" spans="1:15">
      <c r="A214" s="1">
        <v>212</v>
      </c>
      <c r="B214" s="1" t="s">
        <v>169</v>
      </c>
      <c r="C214" s="2">
        <v>23</v>
      </c>
      <c r="D214" s="1" t="s">
        <v>173</v>
      </c>
      <c r="E214" s="1" t="s">
        <v>6</v>
      </c>
      <c r="F214" s="1" t="s">
        <v>88</v>
      </c>
      <c r="G214" s="1" t="s">
        <v>85</v>
      </c>
      <c r="H214" s="3" t="s">
        <v>175</v>
      </c>
      <c r="I214" s="3">
        <v>0.6</v>
      </c>
      <c r="J214" s="3">
        <v>0.3</v>
      </c>
      <c r="K214">
        <f t="shared" si="6"/>
        <v>1800</v>
      </c>
      <c r="L214" s="3">
        <v>6.9</v>
      </c>
      <c r="M214" s="3">
        <v>3000</v>
      </c>
      <c r="N214" s="3">
        <v>3000</v>
      </c>
      <c r="O214">
        <f t="shared" si="7"/>
        <v>11520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秦涛</cp:lastModifiedBy>
  <dcterms:created xsi:type="dcterms:W3CDTF">2024-09-06T02:13:00Z</dcterms:created>
  <dcterms:modified xsi:type="dcterms:W3CDTF">2024-09-10T04:17:10Z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C00135B72A2446FBA15C6AA679F76760_13</vt:lpwstr>
  </property>
  <property fmtid="{D5CDD505-2E9C-101B-9397-08002B2CF9AE}" pid="3" name="KSOProductBuildVer">
    <vt:lpwstr>2052-12.1.0.15374</vt:lpwstr>
  </property>
</Properties>
</file>